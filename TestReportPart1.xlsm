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alphawaveservices-my.sharepoint.com/personal/agould_emss_co_za/Documents/code/Coldhead stability/"/>
    </mc:Choice>
  </mc:AlternateContent>
  <xr:revisionPtr revIDLastSave="232" documentId="14_{5C891D8C-EB31-4EF0-AB9C-5BA91CF8FFC5}" xr6:coauthVersionLast="47" xr6:coauthVersionMax="47" xr10:uidLastSave="{CA03FCB7-8982-456E-A570-D55A2BD41C58}"/>
  <bookViews>
    <workbookView minimized="1" xWindow="15" yWindow="15" windowWidth="28770" windowHeight="16170" xr2:uid="{88058CAC-2619-433C-832F-CCD4C7BA7031}"/>
  </bookViews>
  <sheets>
    <sheet name="Introduction" sheetId="1" r:id="rId1"/>
    <sheet name="Plots" sheetId="8" r:id="rId2"/>
    <sheet name="Notes" sheetId="7" state="hidden" r:id="rId3"/>
    <sheet name="Receiver ID (2)" sheetId="15" state="hidden" r:id="rId4"/>
    <sheet name="Configuration (2)" sheetId="16" state="hidden" r:id="rId5"/>
    <sheet name="LNA biasing (2)" sheetId="17" state="hidden" r:id="rId6"/>
    <sheet name="Switches (2)" sheetId="18" state="hidden" r:id="rId7"/>
    <sheet name="Sensors (2)" sheetId="19" state="hidden" r:id="rId8"/>
    <sheet name="Power (2)" sheetId="20" state="hidden" r:id="rId9"/>
    <sheet name="Plots (2)" sheetId="25" state="hidden" r:id="rId10"/>
    <sheet name="Notes (2)" sheetId="23" state="hidden" r:id="rId11"/>
  </sheets>
  <functionGroups builtInGroupCount="19"/>
  <externalReferences>
    <externalReference r:id="rId12"/>
  </externalReferences>
  <definedNames>
    <definedName name="_xlnm._FilterDatabase" localSheetId="0" hidden="1">Introduction!$C$17:$K$20</definedName>
    <definedName name="Date1">Introduction!$H$15</definedName>
    <definedName name="DocNum">Introduction!$B$3</definedName>
    <definedName name="DRFnum">Introduction!$H$13</definedName>
    <definedName name="Name1" localSheetId="0">Introduction!$K$19</definedName>
    <definedName name="PartNum">Introduction!$A$8</definedName>
    <definedName name="Picture1">Plots!$A$14</definedName>
    <definedName name="Picture2">Plots!$A$45</definedName>
    <definedName name="Picture3">Plots!$A$76</definedName>
    <definedName name="_xlnm.Print_Area" localSheetId="1">Plots!$A$1:$E$131</definedName>
    <definedName name="Rev">Introduction!$H$12</definedName>
    <definedName name="SN">Introduction!$H$11</definedName>
    <definedName name="Table_1" localSheetId="2">#REF!</definedName>
    <definedName name="Table_1">#REF!</definedName>
    <definedName name="Table_2" localSheetId="2">#REF!</definedName>
    <definedName name="Table_2">#REF!</definedName>
    <definedName name="Table_3">#REF!</definedName>
    <definedName name="testResult">Introduction!$H$14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M12" i="19"/>
  <c r="L11" i="19"/>
  <c r="L10" i="19"/>
  <c r="K19" i="1"/>
  <c r="L12" i="19"/>
  <c r="C24" i="1" l="1"/>
  <c r="N41" i="19" l="1"/>
  <c r="M41" i="19"/>
  <c r="M30" i="19"/>
  <c r="L8" i="19"/>
  <c r="H11" i="1" l="1"/>
  <c r="J25" i="18"/>
  <c r="N39" i="19"/>
  <c r="N40" i="19"/>
  <c r="N38" i="19"/>
  <c r="M39" i="19"/>
  <c r="M40" i="19"/>
  <c r="M38" i="19"/>
  <c r="L41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23" i="19"/>
  <c r="M23" i="19"/>
  <c r="M34" i="19"/>
  <c r="M26" i="19"/>
  <c r="M27" i="19"/>
  <c r="M28" i="19"/>
  <c r="M29" i="19"/>
  <c r="M31" i="19"/>
  <c r="M32" i="19"/>
  <c r="M33" i="19"/>
  <c r="M35" i="19"/>
  <c r="M24" i="19"/>
  <c r="M25" i="19"/>
  <c r="N19" i="19"/>
  <c r="N16" i="19"/>
  <c r="N14" i="19"/>
  <c r="N13" i="19"/>
  <c r="N12" i="19"/>
  <c r="N9" i="19"/>
  <c r="N10" i="19"/>
  <c r="N11" i="19" s="1"/>
  <c r="N8" i="19"/>
  <c r="M19" i="19"/>
  <c r="M16" i="19"/>
  <c r="M14" i="19"/>
  <c r="M13" i="19"/>
  <c r="M10" i="19"/>
  <c r="M11" i="19" s="1"/>
  <c r="M9" i="19"/>
  <c r="M8" i="19"/>
  <c r="L42" i="19"/>
  <c r="L33" i="19"/>
  <c r="L29" i="19"/>
  <c r="L24" i="19"/>
  <c r="L25" i="19"/>
  <c r="L26" i="19"/>
  <c r="L27" i="19"/>
  <c r="L28" i="19"/>
  <c r="L30" i="19"/>
  <c r="L31" i="19"/>
  <c r="L32" i="19"/>
  <c r="L34" i="19"/>
  <c r="L35" i="19"/>
  <c r="L23" i="19"/>
  <c r="L19" i="19"/>
  <c r="L16" i="19"/>
  <c r="L9" i="19"/>
  <c r="L13" i="19"/>
  <c r="L14" i="19"/>
  <c r="L17" i="18"/>
  <c r="K17" i="18"/>
  <c r="J17" i="18"/>
  <c r="J23" i="18"/>
  <c r="J21" i="18"/>
  <c r="J11" i="18"/>
  <c r="J9" i="18"/>
  <c r="L13" i="18"/>
  <c r="L15" i="18"/>
  <c r="K13" i="18"/>
  <c r="K15" i="18"/>
  <c r="J13" i="18"/>
  <c r="J15" i="18"/>
  <c r="L11" i="18"/>
  <c r="K11" i="18"/>
  <c r="L9" i="18"/>
  <c r="K9" i="18"/>
  <c r="H15" i="1" l="1"/>
  <c r="K9" i="20"/>
  <c r="J9" i="20"/>
  <c r="K8" i="20"/>
  <c r="J8" i="20"/>
  <c r="P15" i="19" l="1"/>
  <c r="Q15" i="19" l="1"/>
  <c r="M15" i="19" s="1"/>
  <c r="R15" i="19"/>
  <c r="N15" i="19" s="1"/>
  <c r="L15" i="19"/>
  <c r="R17" i="19"/>
  <c r="N17" i="19" s="1"/>
  <c r="Q17" i="19"/>
  <c r="M17" i="19" s="1"/>
  <c r="P17" i="19"/>
  <c r="L17" i="19" s="1"/>
  <c r="H6" i="7"/>
  <c r="H12" i="1" l="1"/>
  <c r="I6" i="7"/>
  <c r="Q18" i="19" l="1"/>
  <c r="M18" i="19" s="1"/>
  <c r="P18" i="19"/>
  <c r="L18" i="19" s="1"/>
  <c r="R18" i="19"/>
  <c r="N18" i="19" s="1"/>
  <c r="R20" i="19"/>
  <c r="N20" i="19" s="1"/>
  <c r="Q20" i="19"/>
  <c r="M20" i="19" s="1"/>
  <c r="P20" i="19"/>
  <c r="L20" i="19" s="1"/>
  <c r="H13" i="1"/>
  <c r="H14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<sst xmlns="http://schemas.openxmlformats.org/spreadsheetml/2006/main" count="348" uniqueCount="205">
  <si>
    <t>Serial Number:</t>
  </si>
  <si>
    <t>Result</t>
  </si>
  <si>
    <t>Completion Date:</t>
  </si>
  <si>
    <t>Test Result Summary</t>
  </si>
  <si>
    <t>Pass/Fail</t>
  </si>
  <si>
    <t>ADDITIONAL NOTES AND COMMENTS</t>
  </si>
  <si>
    <t xml:space="preserve"> </t>
  </si>
  <si>
    <t>Result:</t>
  </si>
  <si>
    <t>EQUIPMENT USED</t>
  </si>
  <si>
    <t>Cal. due date</t>
  </si>
  <si>
    <t>Test results DRF / ECP no:</t>
  </si>
  <si>
    <t>Revision / Iteration:</t>
  </si>
  <si>
    <t>Section</t>
  </si>
  <si>
    <t>Tested by</t>
  </si>
  <si>
    <t>Test Report for the</t>
  </si>
  <si>
    <t>Gain flatness</t>
  </si>
  <si>
    <t>Output return loss</t>
  </si>
  <si>
    <t>Cross polarisation coupling</t>
  </si>
  <si>
    <t>Resonances</t>
  </si>
  <si>
    <t>Self-generated RFI</t>
  </si>
  <si>
    <t>Additional Comments &amp; Observations</t>
  </si>
  <si>
    <t>Receiver details and test summary:</t>
  </si>
  <si>
    <t>Band:</t>
  </si>
  <si>
    <t>Receiver no.:</t>
  </si>
  <si>
    <t>Iteration no.:</t>
  </si>
  <si>
    <t/>
  </si>
  <si>
    <t>Overall test result</t>
  </si>
  <si>
    <t>Tested by:</t>
  </si>
  <si>
    <t>Completion date:</t>
  </si>
  <si>
    <t>Test</t>
  </si>
  <si>
    <t xml:space="preserve">Pass/Fail </t>
  </si>
  <si>
    <t>Receiver noise</t>
  </si>
  <si>
    <t>Calibration noise</t>
  </si>
  <si>
    <t>Nominal gain</t>
  </si>
  <si>
    <t>Gain linearity</t>
  </si>
  <si>
    <t>Common-mode currents</t>
  </si>
  <si>
    <t>Note: this file contains the data which is to be copied into Word. All data has been converted into text to avoid problems with rounding etc.</t>
  </si>
  <si>
    <t>Comments:</t>
  </si>
  <si>
    <t>&lt;comment&gt;</t>
  </si>
  <si>
    <t>-</t>
  </si>
  <si>
    <t xml:space="preserve">Configuration </t>
  </si>
  <si>
    <t>Test 7: Configuration</t>
  </si>
  <si>
    <t>EA-EQT-E050</t>
  </si>
  <si>
    <t>EA-EQT-E038</t>
  </si>
  <si>
    <t>EA-EQT-E053</t>
  </si>
  <si>
    <t>EA-EQT-E065</t>
  </si>
  <si>
    <t>Req. No.</t>
  </si>
  <si>
    <t>Band 2 NTF</t>
  </si>
  <si>
    <r>
      <t xml:space="preserve">Please indicate the specific equipment used. If it is not listed, please record the information in the </t>
    </r>
    <r>
      <rPr>
        <i/>
        <sz val="12"/>
        <color theme="1"/>
        <rFont val="Calibri"/>
        <family val="2"/>
        <scheme val="minor"/>
      </rPr>
      <t xml:space="preserve">Additional Notes and Comments </t>
    </r>
    <r>
      <rPr>
        <sz val="12"/>
        <color theme="1"/>
        <rFont val="Calibri"/>
        <family val="2"/>
        <scheme val="minor"/>
      </rPr>
      <t>section.</t>
    </r>
  </si>
  <si>
    <t>Band 2 STF</t>
  </si>
  <si>
    <t>01</t>
  </si>
  <si>
    <t>2021</t>
  </si>
  <si>
    <t>DRF number:</t>
  </si>
  <si>
    <t>SKA: Acceptance Test Procedure for the Band 2 Feed: part 1 (Mechanical and Electrical Testing)</t>
  </si>
  <si>
    <t>Network analyser</t>
  </si>
  <si>
    <t>Spectrum analyser</t>
  </si>
  <si>
    <t>Function generator</t>
  </si>
  <si>
    <t>No. 1</t>
  </si>
  <si>
    <t>Visual inspection</t>
  </si>
  <si>
    <t>Build record inspection</t>
  </si>
  <si>
    <t>Feed-package cryostat switches</t>
  </si>
  <si>
    <t>Initial ambient</t>
  </si>
  <si>
    <t>Post initial cool-down</t>
  </si>
  <si>
    <t>Post run-in period</t>
  </si>
  <si>
    <t>Feed-package power usage P (W)</t>
  </si>
  <si>
    <t>3.3 Visual, configuration and product markings inspection</t>
  </si>
  <si>
    <t>Product markings</t>
  </si>
  <si>
    <t>Test 2: LNA biasing</t>
  </si>
  <si>
    <t>V-channel LNA</t>
  </si>
  <si>
    <t>Serial number</t>
  </si>
  <si>
    <t>Vd 1 [V]</t>
  </si>
  <si>
    <t>Vd 2 [V]</t>
  </si>
  <si>
    <t>Id 2 [mA]</t>
  </si>
  <si>
    <t>Id 1 [mA]</t>
  </si>
  <si>
    <t>Vd 3 [V]</t>
  </si>
  <si>
    <t>Id 3 [mA]</t>
  </si>
  <si>
    <t>H channel LNA on</t>
  </si>
  <si>
    <t>H channel LNA off</t>
  </si>
  <si>
    <t>V channel LNA on</t>
  </si>
  <si>
    <t>V channel LNA off</t>
  </si>
  <si>
    <t>Cal Source Switch</t>
  </si>
  <si>
    <t>H channel 2nd stage amplifier on</t>
  </si>
  <si>
    <t>H channel 2nd stage amplifier off</t>
  </si>
  <si>
    <t>V channel 2nd stage amplifier on</t>
  </si>
  <si>
    <t>V channel 2nd stage amplifier off</t>
  </si>
  <si>
    <t>Cryocooler stepper motor on</t>
  </si>
  <si>
    <t>Cryocooler stepper motor off</t>
  </si>
  <si>
    <t>Vacuum valve open</t>
  </si>
  <si>
    <t>Vacuum valve close</t>
  </si>
  <si>
    <t>Calibration source on: V</t>
  </si>
  <si>
    <t>Calibration source off: V</t>
  </si>
  <si>
    <t>Calibration source on: I</t>
  </si>
  <si>
    <t>Calibration source off: I</t>
  </si>
  <si>
    <t>Unit</t>
  </si>
  <si>
    <t>mA</t>
  </si>
  <si>
    <t>V</t>
  </si>
  <si>
    <t>Test 3: Switches</t>
  </si>
  <si>
    <t>Test 4: Sensors</t>
  </si>
  <si>
    <t>Feed-package cryostat sensors</t>
  </si>
  <si>
    <t>K</t>
  </si>
  <si>
    <t>°C</t>
  </si>
  <si>
    <t>Feed-package cryostat sensors continued (1)</t>
  </si>
  <si>
    <t>mbar</t>
  </si>
  <si>
    <t>Feed-package cryostat sensors continued (2)</t>
  </si>
  <si>
    <t>Target value (cold)</t>
  </si>
  <si>
    <t>Target value (ambient)</t>
  </si>
  <si>
    <t>Target value</t>
  </si>
  <si>
    <t>Tolerance (ambient)</t>
  </si>
  <si>
    <t>Tolerance (cold)</t>
  </si>
  <si>
    <t>Test 5: Power</t>
  </si>
  <si>
    <t>Feed-package cryostat power testing:</t>
  </si>
  <si>
    <t xml:space="preserve">Target value </t>
  </si>
  <si>
    <t xml:space="preserve">Unit </t>
  </si>
  <si>
    <t>H-channel LNA</t>
  </si>
  <si>
    <t>Tolerance</t>
  </si>
  <si>
    <t>Initial ambient result</t>
  </si>
  <si>
    <t>Post initial cool-down result</t>
  </si>
  <si>
    <t>Post run-in period result</t>
  </si>
  <si>
    <t>317-022000</t>
  </si>
  <si>
    <t>W</t>
  </si>
  <si>
    <t>&gt;</t>
  </si>
  <si>
    <t>Part 1</t>
  </si>
  <si>
    <t>Part 2</t>
  </si>
  <si>
    <t>Part 3</t>
  </si>
  <si>
    <t>Feed-package power factor cos⁡(∅): &gt;0.6</t>
  </si>
  <si>
    <t>SPF Band 2 Cryostat and Control Assembly, Part 1</t>
  </si>
  <si>
    <t>Power and Fibre cable mating</t>
  </si>
  <si>
    <t>Connecting to the control software</t>
  </si>
  <si>
    <t>—</t>
  </si>
  <si>
    <r>
      <t xml:space="preserve">Cryostat body temperature
</t>
    </r>
    <r>
      <rPr>
        <sz val="10"/>
        <rFont val="Calibri"/>
        <family val="2"/>
        <scheme val="minor"/>
      </rPr>
      <t>(T_CB ≈ room temperature at ambient; 20 ≤ T_CB ≤ 45 when cold) [°C]</t>
    </r>
  </si>
  <si>
    <r>
      <t xml:space="preserve">Calibration source temperature
</t>
    </r>
    <r>
      <rPr>
        <sz val="10"/>
        <rFont val="Calibri"/>
        <family val="2"/>
        <scheme val="minor"/>
      </rPr>
      <t>(T_CalT ≈ room temperature at ambient; T_CalT = 23 when cold) [°C]</t>
    </r>
  </si>
  <si>
    <r>
      <t xml:space="preserve">Cold head 1st stage temperature
</t>
    </r>
    <r>
      <rPr>
        <sz val="10"/>
        <rFont val="Calibri"/>
        <family val="2"/>
        <scheme val="minor"/>
      </rPr>
      <t>(T_C1 ≈ room temperature at ambient; T_C1 ≤ 60 when cold) [K]</t>
    </r>
  </si>
  <si>
    <r>
      <t xml:space="preserve">OMT temperature
</t>
    </r>
    <r>
      <rPr>
        <sz val="10"/>
        <rFont val="Calibri"/>
        <family val="2"/>
        <scheme val="minor"/>
      </rPr>
      <t>(T_OMT ≈ room temperature at ambient; T_OMT ≤ 80 when cold) [K]</t>
    </r>
  </si>
  <si>
    <r>
      <t>Sum of H channel LNA drain voltage, VDHM 
(</t>
    </r>
    <r>
      <rPr>
        <sz val="10"/>
        <rFont val="Calibri"/>
        <family val="2"/>
        <scheme val="minor"/>
      </rPr>
      <t>(|VDHM - VDHN| ≤ 0.1)  - VDHN = H bias Vd1 + Vd2 + Vd3) [V]</t>
    </r>
  </si>
  <si>
    <r>
      <t xml:space="preserve">Average H-channel LNA gate voltage
</t>
    </r>
    <r>
      <rPr>
        <sz val="10"/>
        <rFont val="Calibri"/>
        <family val="2"/>
        <scheme val="minor"/>
      </rPr>
      <t>(-1.5 ≤ VGH ≤ 0.1) [V]</t>
    </r>
  </si>
  <si>
    <r>
      <t>V-channel LNA drain voltage, VDVM 
(</t>
    </r>
    <r>
      <rPr>
        <sz val="10"/>
        <rFont val="Calibri"/>
        <family val="2"/>
        <scheme val="minor"/>
      </rPr>
      <t>(|VDVM - VDVN| ≤ 0.1) - VDVN = V bias Vd1 + Vd2 + Vd3) [V]</t>
    </r>
  </si>
  <si>
    <r>
      <t>H-channel LNA drain current, IDHM 
(</t>
    </r>
    <r>
      <rPr>
        <sz val="10"/>
        <rFont val="Calibri"/>
        <family val="2"/>
        <scheme val="minor"/>
      </rPr>
      <t>(|IDHM - IDHN| ≤ 1) - IDHN = H bias Id1 + Id2 + Id3) [mA]</t>
    </r>
  </si>
  <si>
    <r>
      <t xml:space="preserve">Average V-channel LNA gate voltage
</t>
    </r>
    <r>
      <rPr>
        <sz val="10"/>
        <rFont val="Calibri"/>
        <family val="2"/>
        <scheme val="minor"/>
      </rPr>
      <t>(-1.5 ≤ VGV ≤ 0.1) [V]</t>
    </r>
  </si>
  <si>
    <r>
      <t xml:space="preserve">V channel LNA drain current, IDVM 
</t>
    </r>
    <r>
      <rPr>
        <sz val="10"/>
        <rFont val="Calibri"/>
        <family val="2"/>
        <scheme val="minor"/>
      </rPr>
      <t>(|IDVM - IDVN| ≤ 1) - IDVN = V bias Id1 + Id2 + Id3) [mA]</t>
    </r>
  </si>
  <si>
    <r>
      <t xml:space="preserve">H-channel 2nd stage amplifier voltage
</t>
    </r>
    <r>
      <rPr>
        <sz val="10"/>
        <color theme="1"/>
        <rFont val="Calibri"/>
        <family val="2"/>
        <scheme val="minor"/>
      </rPr>
      <t>(4.9 ≤ V_H2 ≤ 5.1) [V]</t>
    </r>
  </si>
  <si>
    <r>
      <t xml:space="preserve">H-channel 2nd stage amplifier current
</t>
    </r>
    <r>
      <rPr>
        <sz val="10"/>
        <color theme="1"/>
        <rFont val="Calibri"/>
        <family val="2"/>
        <scheme val="minor"/>
      </rPr>
      <t>(140 ≤ I_H2 ≤ 190) [mA]</t>
    </r>
  </si>
  <si>
    <r>
      <t xml:space="preserve">V-channel 2nd stage amplifier voltage
</t>
    </r>
    <r>
      <rPr>
        <sz val="10"/>
        <color theme="1"/>
        <rFont val="Calibri"/>
        <family val="2"/>
        <scheme val="minor"/>
      </rPr>
      <t>(4.9 ≤ V_V2 ≤ 5.1) [V]</t>
    </r>
  </si>
  <si>
    <r>
      <t xml:space="preserve">V-channel 2nd stage amplifier current
</t>
    </r>
    <r>
      <rPr>
        <sz val="10"/>
        <color theme="1"/>
        <rFont val="Calibri"/>
        <family val="2"/>
        <scheme val="minor"/>
      </rPr>
      <t>(140 ≤ I_V2 ≤ 190) [mA]</t>
    </r>
  </si>
  <si>
    <r>
      <t xml:space="preserve">Calibration source current
</t>
    </r>
    <r>
      <rPr>
        <sz val="10"/>
        <color theme="1"/>
        <rFont val="Calibri"/>
        <family val="2"/>
        <scheme val="minor"/>
      </rPr>
      <t>(4.9 ≤ I_CS ≤ 5.1) [mA]</t>
    </r>
  </si>
  <si>
    <r>
      <t xml:space="preserve">Controller supply voltage
</t>
    </r>
    <r>
      <rPr>
        <sz val="10"/>
        <color theme="1"/>
        <rFont val="Calibri"/>
        <family val="2"/>
        <scheme val="minor"/>
      </rPr>
      <t>(5.8 ≤ V_C ≤ 6.1) [V]</t>
    </r>
  </si>
  <si>
    <r>
      <t xml:space="preserve">Controller supply current
</t>
    </r>
    <r>
      <rPr>
        <sz val="10"/>
        <color theme="1"/>
        <rFont val="Calibri"/>
        <family val="2"/>
        <scheme val="minor"/>
      </rPr>
      <t>(160 ≤ I_C ≤ 240) [mA]</t>
    </r>
  </si>
  <si>
    <r>
      <t xml:space="preserve">PSU 9Vac average rectified voltage
</t>
    </r>
    <r>
      <rPr>
        <sz val="10"/>
        <color theme="1"/>
        <rFont val="Calibri"/>
        <family val="2"/>
        <scheme val="minor"/>
      </rPr>
      <t>(8.0 ≤ V_REC ≤ 12.0) [V]</t>
    </r>
  </si>
  <si>
    <r>
      <t xml:space="preserve">PSU digital 6V regulator temperature
</t>
    </r>
    <r>
      <rPr>
        <sz val="10"/>
        <color theme="1"/>
        <rFont val="Calibri"/>
        <family val="2"/>
        <scheme val="minor"/>
      </rPr>
      <t>(20 ≤ T_Ag6V ≤ 50) [℃]</t>
    </r>
  </si>
  <si>
    <r>
      <t xml:space="preserve">PSU analogue 6V regulator temperature
</t>
    </r>
    <r>
      <rPr>
        <sz val="10"/>
        <rFont val="Calibri"/>
        <family val="2"/>
        <scheme val="minor"/>
      </rPr>
      <t>(20 ≤ T_Ag6V ≤ 50) [℃]</t>
    </r>
  </si>
  <si>
    <r>
      <t xml:space="preserve">LNA temperature
</t>
    </r>
    <r>
      <rPr>
        <sz val="10"/>
        <rFont val="Calibri"/>
        <family val="2"/>
        <scheme val="minor"/>
      </rPr>
      <t>(T_LNA ≈ room temperature at ambient; T_LNA ≤ 18 when cold)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[K]</t>
    </r>
  </si>
  <si>
    <t>textHolder</t>
  </si>
  <si>
    <r>
      <t xml:space="preserve">Analogue-interface board temperature
</t>
    </r>
    <r>
      <rPr>
        <sz val="10"/>
        <rFont val="Calibri"/>
        <family val="2"/>
        <scheme val="minor"/>
      </rPr>
      <t>(20 ≤ T_AIB</t>
    </r>
    <r>
      <rPr>
        <sz val="10"/>
        <color rgb="FFFF000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≤ 50) [℃]</t>
    </r>
  </si>
  <si>
    <r>
      <t xml:space="preserve">PSU analogue 15V regulator temperature 
</t>
    </r>
    <r>
      <rPr>
        <sz val="10"/>
        <color theme="1"/>
        <rFont val="Calibri"/>
        <family val="2"/>
        <scheme val="minor"/>
      </rPr>
      <t>(20 ≤ T_Ag15V ≤ 50) [℃]</t>
    </r>
  </si>
  <si>
    <r>
      <t xml:space="preserve">Cryostat pressure
</t>
    </r>
    <r>
      <rPr>
        <sz val="10"/>
        <color theme="1"/>
        <rFont val="Calibri"/>
        <family val="2"/>
        <scheme val="minor"/>
      </rPr>
      <t>(PC ≈ 1e+3 at ambient; PC &lt; 1e-2 when cold) [mbar]</t>
    </r>
  </si>
  <si>
    <r>
      <t xml:space="preserve">Manifold pressure
</t>
    </r>
    <r>
      <rPr>
        <sz val="10"/>
        <color theme="1"/>
        <rFont val="Calibri"/>
        <family val="2"/>
        <scheme val="minor"/>
      </rPr>
      <t>(PM ≈ 1e+3 at ambient; PM &lt; 1e-1 when pump is on) [mbar]</t>
    </r>
  </si>
  <si>
    <r>
      <t xml:space="preserve">Controller temperature
</t>
    </r>
    <r>
      <rPr>
        <sz val="10"/>
        <color theme="1"/>
        <rFont val="Calibri"/>
        <family val="2"/>
        <scheme val="minor"/>
      </rPr>
      <t>(20 ≤ T_C ≤ 50) [℃]</t>
    </r>
  </si>
  <si>
    <t>Test 1: Configuration</t>
  </si>
  <si>
    <t>LNA PID heater current OFF</t>
  </si>
  <si>
    <t>LNA PID heater current ON</t>
  </si>
  <si>
    <t>Initial ambient
Result</t>
  </si>
  <si>
    <t>Post initial cool-down
Result</t>
  </si>
  <si>
    <t>Post run-in period
Result</t>
  </si>
  <si>
    <t>&lt;=</t>
  </si>
  <si>
    <t>0.1</t>
  </si>
  <si>
    <t>&lt;</t>
  </si>
  <si>
    <t xml:space="preserve">Document No: </t>
  </si>
  <si>
    <t>Pictures Generated</t>
  </si>
  <si>
    <t>Pictures Inserted</t>
  </si>
  <si>
    <r>
      <t xml:space="preserve">Motor driver temperature
</t>
    </r>
    <r>
      <rPr>
        <sz val="10"/>
        <color theme="1"/>
        <rFont val="Calibri"/>
        <family val="2"/>
        <scheme val="minor"/>
      </rPr>
      <t>(40</t>
    </r>
    <r>
      <rPr>
        <sz val="10"/>
        <rFont val="Calibri"/>
        <family val="2"/>
        <scheme val="minor"/>
      </rPr>
      <t xml:space="preserve"> ≤ T_MD ≤ 80</t>
    </r>
    <r>
      <rPr>
        <sz val="10"/>
        <color theme="1"/>
        <rFont val="Calibri"/>
        <family val="2"/>
        <scheme val="minor"/>
      </rPr>
      <t>) [℃]</t>
    </r>
  </si>
  <si>
    <t>Min Allowed</t>
  </si>
  <si>
    <t>Max Allowed</t>
  </si>
  <si>
    <t>Measured</t>
  </si>
  <si>
    <t>Test Description [Unit]</t>
  </si>
  <si>
    <t>Cold head 2nd stage stabalisation temperature [K]</t>
  </si>
  <si>
    <t>OMT stabalisation temperature [K]</t>
  </si>
  <si>
    <t>Cold head 1st stage stabalisation temperature [K]</t>
  </si>
  <si>
    <t>OMT stabalisation time [hrs]</t>
  </si>
  <si>
    <t>OMT average stable gradient [K/min]</t>
  </si>
  <si>
    <t>Cold head 1st stage stable gradient [K/min]</t>
  </si>
  <si>
    <t>Cold head 1st and 2nd stage temperature intersection [K]</t>
  </si>
  <si>
    <t>Valve turn off temperature (1st stage) [K]</t>
  </si>
  <si>
    <t>Cold head 2nd stage temperature apex [K]</t>
  </si>
  <si>
    <t>Cold head 2nd stage average cool down gradient [K/min]</t>
  </si>
  <si>
    <t>Cold head 1st stage stabalisation time [hrs]</t>
  </si>
  <si>
    <t>Cold head 2nd stage stabalisation time [hrs]</t>
  </si>
  <si>
    <t>Cold head 2nd stage average stable gradient [K/min]</t>
  </si>
  <si>
    <t xml:space="preserve">5. Analysis of Cooldown </t>
  </si>
  <si>
    <t>Calibration source PID heater current 
(30 ≤ I_CalPID ≤ 120 when T_CalT = 23°C and 0 when PID control is off) [mA]</t>
  </si>
  <si>
    <r>
      <t xml:space="preserve">Calibration source voltage
</t>
    </r>
    <r>
      <rPr>
        <sz val="10"/>
        <color theme="1"/>
        <rFont val="Calibri"/>
        <family val="2"/>
        <scheme val="minor"/>
      </rPr>
      <t>(10.0 ≤ V_CS ≤ 12.0) [V]</t>
    </r>
  </si>
  <si>
    <t>317-022000-010_3</t>
  </si>
  <si>
    <t>DRF / ECP No: EA-SKA-ECP-0266</t>
  </si>
  <si>
    <r>
      <t xml:space="preserve">Motor driver positive supply current
</t>
    </r>
    <r>
      <rPr>
        <sz val="10"/>
        <rFont val="Calibri"/>
        <family val="2"/>
        <scheme val="minor"/>
      </rPr>
      <t>(500 ≤ I_(+15) ≤ 900) [mA]</t>
    </r>
  </si>
  <si>
    <r>
      <t xml:space="preserve">Motor driver negative supply current
</t>
    </r>
    <r>
      <rPr>
        <sz val="10"/>
        <color theme="1"/>
        <rFont val="Calibri"/>
        <family val="2"/>
        <scheme val="minor"/>
      </rPr>
      <t>(500 ≤ I_(-15) ≤ 900) [mA]</t>
    </r>
  </si>
  <si>
    <r>
      <t>Cold head 2</t>
    </r>
    <r>
      <rPr>
        <vertAlign val="superscript"/>
        <sz val="12"/>
        <rFont val="Calibri"/>
        <family val="2"/>
        <scheme val="minor"/>
      </rPr>
      <t>nd</t>
    </r>
    <r>
      <rPr>
        <sz val="12"/>
        <rFont val="Calibri"/>
        <family val="2"/>
        <scheme val="minor"/>
      </rPr>
      <t xml:space="preserve"> stage average cool down gradient [K/min]
 - 90 RPM; 0% heat load; (T_delta 273K - 15K)</t>
    </r>
  </si>
  <si>
    <r>
      <t>Cold head 1</t>
    </r>
    <r>
      <rPr>
        <vertAlign val="superscript"/>
        <sz val="12"/>
        <rFont val="Calibri"/>
        <family val="2"/>
        <scheme val="minor"/>
      </rPr>
      <t>st</t>
    </r>
    <r>
      <rPr>
        <sz val="12"/>
        <rFont val="Calibri"/>
        <family val="2"/>
        <scheme val="minor"/>
      </rPr>
      <t xml:space="preserve"> stage average cool down gradient [K/min]
 - 90 RPM; 0% heat load; (T_delta 273K - 50K)</t>
    </r>
  </si>
  <si>
    <t>TBD</t>
  </si>
  <si>
    <t xml:space="preserve">Cold head 1st stage ultimate temperature [K]
 - 90 RPM; 0% heat load; </t>
  </si>
  <si>
    <t xml:space="preserve">Cold head 2nd stage ultimate temperature [K]
 - 90 RPM; 0% heat load; </t>
  </si>
  <si>
    <r>
      <t>Cold head 1</t>
    </r>
    <r>
      <rPr>
        <vertAlign val="superscript"/>
        <sz val="12"/>
        <rFont val="Calibri"/>
        <family val="2"/>
        <scheme val="minor"/>
      </rPr>
      <t>st</t>
    </r>
    <r>
      <rPr>
        <sz val="12"/>
        <rFont val="Calibri"/>
        <family val="2"/>
        <scheme val="minor"/>
      </rPr>
      <t xml:space="preserve"> stage gradient range spec line intersections
 - 72RPM; 100% heat load</t>
    </r>
  </si>
  <si>
    <r>
      <t>Cold head 2</t>
    </r>
    <r>
      <rPr>
        <vertAlign val="superscript"/>
        <sz val="12"/>
        <rFont val="Calibri"/>
        <family val="2"/>
        <scheme val="minor"/>
      </rPr>
      <t>nd</t>
    </r>
    <r>
      <rPr>
        <sz val="12"/>
        <rFont val="Calibri"/>
        <family val="2"/>
        <scheme val="minor"/>
      </rPr>
      <t xml:space="preserve"> stage gradient range spec line intersections
 - 72RPM; 100% heat load</t>
    </r>
  </si>
  <si>
    <r>
      <t>Cold head 1</t>
    </r>
    <r>
      <rPr>
        <vertAlign val="superscript"/>
        <sz val="12"/>
        <rFont val="Calibri"/>
        <family val="2"/>
        <scheme val="minor"/>
      </rPr>
      <t>st</t>
    </r>
    <r>
      <rPr>
        <sz val="12"/>
        <rFont val="Calibri"/>
        <family val="2"/>
        <scheme val="minor"/>
      </rPr>
      <t xml:space="preserve"> stage 3 Standard Deviaitons
 - 72RPM; 100% heat load; 1 hour settling time</t>
    </r>
  </si>
  <si>
    <r>
      <t>Cold head 2</t>
    </r>
    <r>
      <rPr>
        <vertAlign val="superscript"/>
        <sz val="12"/>
        <rFont val="Calibri"/>
        <family val="2"/>
        <scheme val="minor"/>
      </rPr>
      <t>nd</t>
    </r>
    <r>
      <rPr>
        <sz val="12"/>
        <rFont val="Calibri"/>
        <family val="2"/>
        <scheme val="minor"/>
      </rPr>
      <t xml:space="preserve"> stage 3 Standard Deviaitons
 - 72RPM; 100% heat load; 1 hour settling time</t>
    </r>
  </si>
  <si>
    <t>Cooldown plot</t>
  </si>
  <si>
    <t>Stability plot (1st stage)</t>
  </si>
  <si>
    <t>Stablity plot (2nd stage)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</si>
</sst>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1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theme="4"/>
      <name val="Comic Sans MS"/>
      <family val="4"/>
    </font>
    <font>
      <i/>
      <sz val="11"/>
      <color theme="4"/>
      <name val="Comic Sans MS"/>
      <family val="4"/>
    </font>
    <font>
      <sz val="11"/>
      <color theme="4"/>
      <name val="Comic Sans MS"/>
      <family val="4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0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theme="9"/>
      </top>
      <bottom style="thin">
        <color theme="9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/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10" fillId="0" borderId="1" xfId="0" applyFont="1" applyBorder="1" applyProtection="1">
      <protection locked="0"/>
    </xf>
    <xf numFmtId="0" fontId="5" fillId="2" borderId="8" xfId="0" applyFont="1" applyFill="1" applyBorder="1" applyAlignment="1">
      <alignment horizontal="center" vertical="center" wrapText="1"/>
    </xf>
    <xf numFmtId="0" fontId="4" fillId="0" borderId="0" xfId="0" quotePrefix="1" applyFont="1" applyAlignment="1">
      <alignment horizontal="left" vertical="center" wrapText="1"/>
    </xf>
    <xf numFmtId="49" fontId="0" fillId="0" borderId="0" xfId="0" applyNumberFormat="1"/>
    <xf numFmtId="49" fontId="17" fillId="0" borderId="0" xfId="0" applyNumberFormat="1" applyFont="1"/>
    <xf numFmtId="49" fontId="14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49" fontId="11" fillId="0" borderId="0" xfId="0" applyNumberFormat="1" applyFont="1"/>
    <xf numFmtId="49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5" fillId="0" borderId="0" xfId="0" applyNumberFormat="1" applyFont="1"/>
    <xf numFmtId="49" fontId="14" fillId="0" borderId="0" xfId="0" applyNumberFormat="1" applyFont="1"/>
    <xf numFmtId="49" fontId="17" fillId="0" borderId="0" xfId="0" applyNumberFormat="1" applyFont="1" applyAlignment="1">
      <alignment horizontal="left" wrapText="1"/>
    </xf>
    <xf numFmtId="49" fontId="17" fillId="0" borderId="0" xfId="0" applyNumberFormat="1" applyFont="1" applyAlignment="1">
      <alignment vertical="center"/>
    </xf>
    <xf numFmtId="49" fontId="17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center" wrapText="1"/>
    </xf>
    <xf numFmtId="49" fontId="17" fillId="0" borderId="0" xfId="0" applyNumberFormat="1" applyFont="1" applyAlignment="1">
      <alignment vertical="center" wrapText="1"/>
    </xf>
    <xf numFmtId="49" fontId="17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0" fillId="0" borderId="0" xfId="0" applyFont="1" applyProtection="1"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0" fontId="5" fillId="2" borderId="8" xfId="0" applyFont="1" applyFill="1" applyBorder="1" applyAlignment="1">
      <alignment horizontal="center" vertic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18" fillId="0" borderId="17" xfId="0" applyNumberFormat="1" applyFont="1" applyBorder="1" applyAlignment="1">
      <alignment horizontal="center"/>
    </xf>
    <xf numFmtId="49" fontId="0" fillId="0" borderId="16" xfId="0" applyNumberFormat="1" applyBorder="1"/>
    <xf numFmtId="49" fontId="0" fillId="0" borderId="21" xfId="0" applyNumberFormat="1" applyBorder="1"/>
    <xf numFmtId="164" fontId="0" fillId="0" borderId="19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0" fontId="18" fillId="0" borderId="18" xfId="0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6" fillId="0" borderId="1" xfId="0" applyFont="1" applyBorder="1" applyAlignment="1" applyProtection="1">
      <alignment horizontal="center" vertical="center"/>
      <protection locked="0"/>
    </xf>
    <xf numFmtId="49" fontId="0" fillId="0" borderId="17" xfId="0" quotePrefix="1" applyNumberFormat="1" applyBorder="1" applyAlignment="1">
      <alignment horizontal="center"/>
    </xf>
    <xf numFmtId="49" fontId="0" fillId="0" borderId="24" xfId="0" quotePrefix="1" applyNumberFormat="1" applyBorder="1" applyAlignment="1">
      <alignment horizontal="center"/>
    </xf>
    <xf numFmtId="0" fontId="4" fillId="0" borderId="6" xfId="0" applyFont="1" applyBorder="1" applyAlignment="1">
      <alignment horizontal="left" vertical="center" wrapText="1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 wrapText="1"/>
    </xf>
    <xf numFmtId="2" fontId="0" fillId="3" borderId="17" xfId="0" applyNumberFormat="1" applyFill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4" fontId="0" fillId="3" borderId="23" xfId="0" applyNumberFormat="1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49" fontId="0" fillId="0" borderId="0" xfId="0" applyNumberFormat="1" applyAlignment="1">
      <alignment horizontal="left" vertical="center" wrapText="1"/>
    </xf>
    <xf numFmtId="49" fontId="11" fillId="0" borderId="0" xfId="0" quotePrefix="1" applyNumberFormat="1" applyFont="1" applyAlignment="1">
      <alignment horizontal="center" vertical="center" wrapText="1"/>
    </xf>
    <xf numFmtId="165" fontId="0" fillId="0" borderId="27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165" fontId="0" fillId="0" borderId="17" xfId="0" applyNumberFormat="1" applyBorder="1" applyAlignment="1">
      <alignment horizontal="center" vertical="center"/>
    </xf>
    <xf numFmtId="0" fontId="7" fillId="0" borderId="0" xfId="0" applyFont="1"/>
    <xf numFmtId="165" fontId="21" fillId="0" borderId="28" xfId="0" applyNumberFormat="1" applyFont="1" applyBorder="1" applyAlignment="1">
      <alignment horizontal="center" vertical="center"/>
    </xf>
    <xf numFmtId="49" fontId="0" fillId="0" borderId="0" xfId="0" quotePrefix="1" applyNumberFormat="1"/>
    <xf numFmtId="0" fontId="7" fillId="0" borderId="0" xfId="0" applyFont="1" applyAlignment="1">
      <alignment horizontal="center"/>
    </xf>
    <xf numFmtId="0" fontId="22" fillId="0" borderId="0" xfId="0" applyFont="1"/>
    <xf numFmtId="0" fontId="3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wrapText="1"/>
    </xf>
    <xf numFmtId="0" fontId="4" fillId="0" borderId="1" xfId="0" applyFont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7" fillId="0" borderId="14" xfId="0" applyFont="1" applyBorder="1"/>
    <xf numFmtId="49" fontId="17" fillId="5" borderId="0" xfId="0" applyNumberFormat="1" applyFont="1" applyFill="1"/>
    <xf numFmtId="49" fontId="18" fillId="5" borderId="17" xfId="0" applyNumberFormat="1" applyFont="1" applyFill="1" applyBorder="1" applyAlignment="1">
      <alignment horizontal="center"/>
    </xf>
    <xf numFmtId="49" fontId="0" fillId="5" borderId="0" xfId="0" applyNumberFormat="1" applyFill="1"/>
    <xf numFmtId="49" fontId="17" fillId="5" borderId="20" xfId="0" applyNumberFormat="1" applyFont="1" applyFill="1" applyBorder="1"/>
    <xf numFmtId="49" fontId="18" fillId="5" borderId="16" xfId="0" applyNumberFormat="1" applyFont="1" applyFill="1" applyBorder="1" applyAlignment="1">
      <alignment horizontal="center"/>
    </xf>
    <xf numFmtId="49" fontId="0" fillId="5" borderId="21" xfId="0" applyNumberFormat="1" applyFill="1" applyBorder="1"/>
    <xf numFmtId="49" fontId="11" fillId="5" borderId="0" xfId="0" applyNumberFormat="1" applyFont="1" applyFill="1"/>
    <xf numFmtId="49" fontId="11" fillId="5" borderId="0" xfId="0" applyNumberFormat="1" applyFont="1" applyFill="1" applyAlignment="1">
      <alignment horizontal="center"/>
    </xf>
    <xf numFmtId="49" fontId="0" fillId="5" borderId="17" xfId="0" applyNumberFormat="1" applyFill="1" applyBorder="1" applyAlignment="1">
      <alignment horizontal="center"/>
    </xf>
    <xf numFmtId="49" fontId="0" fillId="5" borderId="0" xfId="0" applyNumberFormat="1" applyFill="1" applyAlignment="1">
      <alignment horizontal="center"/>
    </xf>
    <xf numFmtId="49" fontId="0" fillId="5" borderId="19" xfId="0" applyNumberFormat="1" applyFill="1" applyBorder="1" applyAlignment="1">
      <alignment horizontal="center"/>
    </xf>
    <xf numFmtId="49" fontId="0" fillId="5" borderId="18" xfId="0" applyNumberFormat="1" applyFill="1" applyBorder="1" applyAlignment="1">
      <alignment horizontal="center"/>
    </xf>
    <xf numFmtId="49" fontId="0" fillId="5" borderId="0" xfId="0" applyNumberFormat="1" applyFill="1" applyAlignment="1">
      <alignment horizontal="left"/>
    </xf>
    <xf numFmtId="49" fontId="0" fillId="5" borderId="0" xfId="0" quotePrefix="1" applyNumberFormat="1" applyFill="1" applyAlignment="1">
      <alignment wrapText="1"/>
    </xf>
    <xf numFmtId="49" fontId="0" fillId="5" borderId="19" xfId="0" applyNumberForma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165" fontId="0" fillId="6" borderId="23" xfId="0" applyNumberFormat="1" applyFill="1" applyBorder="1" applyAlignment="1">
      <alignment horizontal="center"/>
    </xf>
    <xf numFmtId="165" fontId="0" fillId="6" borderId="17" xfId="0" applyNumberFormat="1" applyFill="1" applyBorder="1" applyAlignment="1">
      <alignment horizontal="center"/>
    </xf>
    <xf numFmtId="165" fontId="0" fillId="6" borderId="25" xfId="0" applyNumberFormat="1" applyFill="1" applyBorder="1" applyAlignment="1">
      <alignment horizontal="center"/>
    </xf>
    <xf numFmtId="165" fontId="0" fillId="6" borderId="17" xfId="0" applyNumberFormat="1" applyFill="1" applyBorder="1" applyAlignment="1">
      <alignment horizontal="center" vertical="center"/>
    </xf>
    <xf numFmtId="0" fontId="18" fillId="0" borderId="23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31" xfId="0" applyBorder="1" applyAlignment="1">
      <alignment vertical="center"/>
    </xf>
    <xf numFmtId="49" fontId="28" fillId="4" borderId="0" xfId="0" applyNumberFormat="1" applyFont="1" applyFill="1"/>
    <xf numFmtId="49" fontId="29" fillId="4" borderId="22" xfId="0" applyNumberFormat="1" applyFont="1" applyFill="1" applyBorder="1" applyAlignment="1">
      <alignment horizontal="center"/>
    </xf>
    <xf numFmtId="49" fontId="30" fillId="4" borderId="21" xfId="0" applyNumberFormat="1" applyFont="1" applyFill="1" applyBorder="1"/>
    <xf numFmtId="49" fontId="30" fillId="4" borderId="0" xfId="0" applyNumberFormat="1" applyFont="1" applyFill="1" applyAlignment="1">
      <alignment horizontal="left"/>
    </xf>
    <xf numFmtId="49" fontId="30" fillId="4" borderId="0" xfId="0" applyNumberFormat="1" applyFont="1" applyFill="1"/>
    <xf numFmtId="166" fontId="0" fillId="0" borderId="23" xfId="0" applyNumberFormat="1" applyBorder="1" applyAlignment="1">
      <alignment horizontal="center"/>
    </xf>
    <xf numFmtId="2" fontId="21" fillId="0" borderId="28" xfId="0" applyNumberFormat="1" applyFont="1" applyBorder="1" applyAlignment="1">
      <alignment horizontal="center" vertical="center"/>
    </xf>
    <xf numFmtId="2" fontId="0" fillId="0" borderId="0" xfId="0" applyNumberFormat="1"/>
    <xf numFmtId="2" fontId="8" fillId="0" borderId="7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2" fillId="0" borderId="7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1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9" fillId="0" borderId="5" xfId="0" applyFont="1" applyBorder="1" applyAlignment="1" applyProtection="1">
      <alignment horizontal="left" vertical="top" wrapText="1"/>
      <protection locked="0"/>
    </xf>
    <xf numFmtId="0" fontId="9" fillId="0" borderId="9" xfId="0" applyFont="1" applyBorder="1" applyAlignment="1" applyProtection="1">
      <alignment horizontal="left" vertical="top" wrapText="1"/>
      <protection locked="0"/>
    </xf>
    <xf numFmtId="0" fontId="9" fillId="0" borderId="4" xfId="0" applyFont="1" applyBorder="1" applyAlignment="1" applyProtection="1">
      <alignment horizontal="left" vertical="top" wrapText="1"/>
      <protection locked="0"/>
    </xf>
    <xf numFmtId="0" fontId="9" fillId="0" borderId="11" xfId="0" applyFont="1" applyBorder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1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10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49" fontId="16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center" vertical="center" wrapText="1"/>
    </xf>
    <xf numFmtId="49" fontId="17" fillId="0" borderId="0" xfId="0" applyNumberFormat="1" applyFont="1" applyAlignment="1">
      <alignment horizontal="left" vertical="center" wrapText="1"/>
    </xf>
    <xf numFmtId="0" fontId="0" fillId="0" borderId="17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Normal" xfId="0" builtinId="0"/>
  </cellStyles>
  <dxfs count="10"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4"/>
        <name val="Comic Sans MS"/>
        <family val="4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4"/>
        <name val="Comic Sans MS"/>
        <family val="4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B7B7"/>
        </patternFill>
      </fill>
    </dxf>
  </dxfs>
  <tableStyles count="0" defaultTableStyle="TableStyleMedium2" defaultPivotStyle="PivotStyleLight16"/>
  <colors>
    <mruColors>
      <color rgb="FFFFB7B7"/>
      <color rgb="FFFF32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13</xdr:row>
          <xdr:rowOff>247650</xdr:rowOff>
        </xdr:from>
        <xdr:to>
          <xdr:col>13</xdr:col>
          <xdr:colOff>352425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38100</xdr:rowOff>
        </xdr:from>
        <xdr:to>
          <xdr:col>13</xdr:col>
          <xdr:colOff>523875</xdr:colOff>
          <xdr:row>19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9</xdr:row>
          <xdr:rowOff>142875</xdr:rowOff>
        </xdr:from>
        <xdr:to>
          <xdr:col>13</xdr:col>
          <xdr:colOff>352425</xdr:colOff>
          <xdr:row>10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Review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10</xdr:row>
          <xdr:rowOff>323850</xdr:rowOff>
        </xdr:from>
        <xdr:to>
          <xdr:col>13</xdr:col>
          <xdr:colOff>323850</xdr:colOff>
          <xdr:row>11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EMSSAntennas2/Shared%20Documents/General/DocumentControl/DocumentationMacr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ettings"/>
      <sheetName val="Data sheet"/>
      <sheetName val="DocumentationMacros"/>
    </sheetNames>
    <definedNames>
      <definedName name="SKA_TR_Submit"/>
      <definedName name="SPF_PreviewPDF True"/>
      <definedName name="TR_SetDate"/>
      <definedName name="TR_SetUserName"/>
    </defined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B50819-EFAE-46FA-9D09-CDB92326ABE3}" name="Table2" displayName="Table2" ref="A3:E11" totalsRowShown="0" headerRowDxfId="8" headerRowBorderDxfId="7" tableBorderDxfId="6" totalsRowBorderDxfId="5">
  <tableColumns count="5">
    <tableColumn id="1" xr3:uid="{91178D9F-8EDD-42D5-94C5-C98BE0F4F9DD}" name="Test Description [Unit]" dataDxfId="4"/>
    <tableColumn id="2" xr3:uid="{43FBC849-3A4D-4031-A825-0CA9FFCC9B97}" name="Min Allowed" dataDxfId="3"/>
    <tableColumn id="3" xr3:uid="{57D5B7EF-22E3-420C-BCE5-888C5ECFC540}" name="Max Allowed" dataDxfId="2"/>
    <tableColumn id="4" xr3:uid="{866332F8-AF73-4A16-93D5-CCEECABF4447}" name="Measured" dataDxfId="1"/>
    <tableColumn id="5" xr3:uid="{59175903-822C-42CE-9061-07D993CE0945}" name="Pass/F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showGridLines="0" tabSelected="1" view="pageLayout" zoomScale="85" zoomScaleNormal="100" zoomScalePageLayoutView="85" workbookViewId="0">
      <selection activeCell="K19" sqref="K19:L24"/>
    </sheetView>
  </sheetViews>
  <sheetFormatPr defaultColWidth="6" defaultRowHeight="15" outlineLevelCol="1" x14ac:dyDescent="0.25"/>
  <cols>
    <col min="1" max="1" width="9" style="62" customWidth="1"/>
    <col min="2" max="2" width="5" style="62" customWidth="1"/>
    <col min="3" max="3" width="10.42578125" style="62" customWidth="1"/>
    <col min="4" max="7" width="8.7109375" style="62" customWidth="1"/>
    <col min="8" max="9" width="6.42578125" style="62" customWidth="1"/>
    <col min="10" max="10" width="22.7109375" style="62" customWidth="1" outlineLevel="1"/>
    <col min="11" max="11" width="10.5703125" style="62" customWidth="1"/>
    <col min="12" max="12" width="10.42578125" customWidth="1"/>
    <col min="13" max="13" width="5" style="62" customWidth="1"/>
    <col min="14" max="14" width="9" style="62" customWidth="1"/>
  </cols>
  <sheetData>
    <row r="1" spans="1:14" s="58" customFormat="1" ht="11.25" x14ac:dyDescent="0.2">
      <c r="A1" s="58" t="s">
        <v>6</v>
      </c>
    </row>
    <row r="2" spans="1:14" s="58" customFormat="1" ht="11.25" x14ac:dyDescent="0.2"/>
    <row r="3" spans="1:14" s="58" customFormat="1" ht="11.25" x14ac:dyDescent="0.2">
      <c r="A3" s="58" t="s">
        <v>165</v>
      </c>
      <c r="B3" s="58" t="s">
        <v>189</v>
      </c>
    </row>
    <row r="4" spans="1:14" s="58" customFormat="1" ht="11.25" x14ac:dyDescent="0.2">
      <c r="A4" s="58" t="s">
        <v>190</v>
      </c>
    </row>
    <row r="5" spans="1:14" s="58" customFormat="1" ht="11.25" x14ac:dyDescent="0.2"/>
    <row r="6" spans="1:14" ht="22.7" customHeight="1" x14ac:dyDescent="0.25">
      <c r="A6" s="106" t="s">
        <v>14</v>
      </c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</row>
    <row r="7" spans="1:14" ht="22.7" customHeight="1" x14ac:dyDescent="0.25">
      <c r="A7" s="106" t="s">
        <v>125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14" ht="22.7" customHeight="1" x14ac:dyDescent="0.25">
      <c r="A8" s="106" t="s">
        <v>118</v>
      </c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</row>
    <row r="9" spans="1:14" s="58" customFormat="1" ht="12" thickBot="1" x14ac:dyDescent="0.25">
      <c r="D9" s="72"/>
      <c r="E9" s="72"/>
      <c r="F9" s="72"/>
      <c r="G9" s="72"/>
      <c r="H9" s="72"/>
      <c r="I9" s="72"/>
      <c r="J9" s="72"/>
      <c r="K9" s="72"/>
    </row>
    <row r="10" spans="1:14" s="58" customFormat="1" ht="12" customHeight="1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</row>
    <row r="11" spans="1:14" ht="26.85" customHeight="1" x14ac:dyDescent="0.25">
      <c r="C11" s="108" t="s">
        <v>0</v>
      </c>
      <c r="D11" s="108"/>
      <c r="E11" s="108"/>
      <c r="F11" s="108"/>
      <c r="G11" s="108"/>
      <c r="H11" s="107" t="str">
        <f>IF('Receiver ID (2)'!B4="","",'Receiver ID (2)'!B4)</f>
        <v/>
      </c>
      <c r="I11" s="107"/>
      <c r="J11" s="107"/>
      <c r="K11" s="107"/>
      <c r="L11" s="107"/>
    </row>
    <row r="12" spans="1:14" ht="26.85" customHeight="1" x14ac:dyDescent="0.25">
      <c r="C12" s="108" t="s">
        <v>11</v>
      </c>
      <c r="D12" s="108"/>
      <c r="E12" s="108"/>
      <c r="F12" s="108"/>
      <c r="G12" s="108"/>
      <c r="H12" s="107" t="str">
        <f>IF('Receiver ID (2)'!B5= "", "",'Receiver ID (2)'!B5)</f>
        <v/>
      </c>
      <c r="I12" s="107"/>
      <c r="J12" s="107"/>
      <c r="K12" s="107"/>
      <c r="L12" s="107"/>
    </row>
    <row r="13" spans="1:14" ht="26.85" customHeight="1" x14ac:dyDescent="0.25">
      <c r="C13" s="108" t="s">
        <v>10</v>
      </c>
      <c r="D13" s="108"/>
      <c r="E13" s="108"/>
      <c r="F13" s="108"/>
      <c r="G13" s="108"/>
      <c r="H13" s="107" t="str">
        <f>IF('Receiver ID (2)'!B6="", "",'Receiver ID (2)'!B6)</f>
        <v/>
      </c>
      <c r="I13" s="107"/>
      <c r="J13" s="107"/>
      <c r="K13" s="107"/>
      <c r="L13" s="107"/>
    </row>
    <row r="14" spans="1:14" ht="26.85" customHeight="1" x14ac:dyDescent="0.25">
      <c r="C14" s="108" t="s">
        <v>7</v>
      </c>
      <c r="D14" s="108"/>
      <c r="E14" s="108"/>
      <c r="F14" s="108"/>
      <c r="G14" s="108"/>
      <c r="H14" s="107" t="str">
        <f>IF(SN="","",IF(COUNTIF(H19:I24,"PASS")=6,"PASS","FAIL"))</f>
        <v/>
      </c>
      <c r="I14" s="107"/>
      <c r="J14" s="107"/>
      <c r="K14" s="107"/>
      <c r="L14" s="107"/>
    </row>
    <row r="15" spans="1:14" ht="26.85" customHeight="1" x14ac:dyDescent="0.25">
      <c r="C15" s="108" t="s">
        <v>2</v>
      </c>
      <c r="D15" s="108"/>
      <c r="E15" s="108"/>
      <c r="F15" s="108"/>
      <c r="G15" s="108"/>
      <c r="H15" s="107" t="str">
        <f>IF(SN="","",TEXT('Receiver ID (2)'!B11,"yyyy-mm-dd"))</f>
        <v/>
      </c>
      <c r="I15" s="107"/>
      <c r="J15" s="107"/>
      <c r="K15" s="107"/>
      <c r="L15" s="107"/>
    </row>
    <row r="17" spans="3:12" s="2" customFormat="1" ht="19.899999999999999" customHeight="1" x14ac:dyDescent="0.25">
      <c r="C17" s="123" t="s">
        <v>3</v>
      </c>
      <c r="D17" s="123"/>
      <c r="E17" s="123"/>
      <c r="F17" s="123"/>
      <c r="G17" s="123"/>
      <c r="H17" s="123"/>
      <c r="I17" s="123"/>
      <c r="J17" s="123"/>
      <c r="K17" s="123"/>
      <c r="L17" s="123"/>
    </row>
    <row r="18" spans="3:12" s="2" customFormat="1" ht="19.899999999999999" customHeight="1" x14ac:dyDescent="0.25">
      <c r="C18" s="124" t="s">
        <v>12</v>
      </c>
      <c r="D18" s="125"/>
      <c r="E18" s="125"/>
      <c r="F18" s="125"/>
      <c r="G18" s="126"/>
      <c r="H18" s="123" t="s">
        <v>1</v>
      </c>
      <c r="I18" s="123"/>
      <c r="J18" s="63" t="s">
        <v>46</v>
      </c>
      <c r="K18" s="124" t="s">
        <v>13</v>
      </c>
      <c r="L18" s="126"/>
    </row>
    <row r="19" spans="3:12" s="2" customFormat="1" ht="19.899999999999999" customHeight="1" x14ac:dyDescent="0.25">
      <c r="C19" s="109"/>
      <c r="D19" s="110"/>
      <c r="E19" s="110"/>
      <c r="F19" s="110"/>
      <c r="G19" s="111"/>
      <c r="H19" s="119"/>
      <c r="I19" s="120"/>
      <c r="J19" s="64"/>
      <c r="K19" s="113" t="str">
        <f>IF('Receiver ID (2)'!B9="", "",'Receiver ID (2)'!B9)</f>
        <v/>
      </c>
      <c r="L19" s="114"/>
    </row>
    <row r="20" spans="3:12" s="2" customFormat="1" ht="19.899999999999999" customHeight="1" x14ac:dyDescent="0.25">
      <c r="C20" s="109"/>
      <c r="D20" s="110"/>
      <c r="E20" s="110"/>
      <c r="F20" s="110"/>
      <c r="G20" s="111"/>
      <c r="H20" s="119"/>
      <c r="I20" s="120"/>
      <c r="J20" s="64"/>
      <c r="K20" s="115"/>
      <c r="L20" s="116"/>
    </row>
    <row r="21" spans="3:12" s="2" customFormat="1" ht="19.899999999999999" customHeight="1" x14ac:dyDescent="0.25">
      <c r="C21" s="109"/>
      <c r="D21" s="110"/>
      <c r="E21" s="110"/>
      <c r="F21" s="110"/>
      <c r="G21" s="111"/>
      <c r="H21" s="119"/>
      <c r="I21" s="120"/>
      <c r="J21" s="64"/>
      <c r="K21" s="115"/>
      <c r="L21" s="116"/>
    </row>
    <row r="22" spans="3:12" s="2" customFormat="1" ht="19.899999999999999" customHeight="1" x14ac:dyDescent="0.25">
      <c r="C22" s="109"/>
      <c r="D22" s="110"/>
      <c r="E22" s="110"/>
      <c r="F22" s="110"/>
      <c r="G22" s="111"/>
      <c r="H22" s="119"/>
      <c r="I22" s="120"/>
      <c r="J22" s="64"/>
      <c r="K22" s="115"/>
      <c r="L22" s="116"/>
    </row>
    <row r="23" spans="3:12" s="2" customFormat="1" ht="19.899999999999999" customHeight="1" x14ac:dyDescent="0.25">
      <c r="C23" s="109"/>
      <c r="D23" s="110"/>
      <c r="E23" s="110"/>
      <c r="F23" s="110"/>
      <c r="G23" s="111"/>
      <c r="H23" s="119"/>
      <c r="I23" s="120"/>
      <c r="J23" s="64"/>
      <c r="K23" s="115"/>
      <c r="L23" s="116"/>
    </row>
    <row r="24" spans="3:12" s="2" customFormat="1" ht="19.899999999999999" customHeight="1" x14ac:dyDescent="0.25">
      <c r="C24" s="112" t="str">
        <f>Plots!A2</f>
        <v xml:space="preserve">5. Analysis of Cooldown </v>
      </c>
      <c r="D24" s="112"/>
      <c r="E24" s="112"/>
      <c r="F24" s="112"/>
      <c r="G24" s="112"/>
      <c r="H24" s="121" t="str">
        <f>IF(SN="","",IF(AND(IF(COUNTIF('Plots (2)'!A1:A3,"")&gt;=1,0,1),IF(COUNTIF(Plots!E4:E11,"=PASS")=10,1,0)),"PASS","FAIL"))</f>
        <v/>
      </c>
      <c r="I24" s="122"/>
      <c r="J24" s="64" t="s">
        <v>128</v>
      </c>
      <c r="K24" s="117"/>
      <c r="L24" s="118"/>
    </row>
    <row r="25" spans="3:12" ht="16.149999999999999" customHeight="1" x14ac:dyDescent="0.25"/>
    <row r="26" spans="3:12" ht="16.149999999999999" customHeight="1" x14ac:dyDescent="0.25"/>
    <row r="28" spans="3:12" ht="14.45" customHeight="1" x14ac:dyDescent="0.25"/>
    <row r="29" spans="3:12" ht="14.45" customHeight="1" x14ac:dyDescent="0.25"/>
  </sheetData>
  <sheetProtection sheet="1" objects="1" scenarios="1" selectLockedCells="1"/>
  <mergeCells count="30">
    <mergeCell ref="H18:I18"/>
    <mergeCell ref="C18:G18"/>
    <mergeCell ref="C17:L17"/>
    <mergeCell ref="K18:L18"/>
    <mergeCell ref="H14:L14"/>
    <mergeCell ref="H13:L13"/>
    <mergeCell ref="H15:L15"/>
    <mergeCell ref="C14:G14"/>
    <mergeCell ref="C13:G13"/>
    <mergeCell ref="C15:G15"/>
    <mergeCell ref="C23:G23"/>
    <mergeCell ref="C24:G24"/>
    <mergeCell ref="K19:L24"/>
    <mergeCell ref="H19:I19"/>
    <mergeCell ref="H20:I20"/>
    <mergeCell ref="H21:I21"/>
    <mergeCell ref="H24:I24"/>
    <mergeCell ref="H23:I23"/>
    <mergeCell ref="H22:I22"/>
    <mergeCell ref="C19:G19"/>
    <mergeCell ref="C20:G20"/>
    <mergeCell ref="C21:G21"/>
    <mergeCell ref="C22:G22"/>
    <mergeCell ref="A6:N6"/>
    <mergeCell ref="A8:N8"/>
    <mergeCell ref="A7:N7"/>
    <mergeCell ref="H12:L12"/>
    <mergeCell ref="C11:G11"/>
    <mergeCell ref="H11:L11"/>
    <mergeCell ref="C12:G12"/>
  </mergeCells>
  <conditionalFormatting sqref="H14:L14">
    <cfRule type="expression" dxfId="9" priority="1">
      <formula>IF($H$14="FAIL",1,0)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fitToWidth="0" fitToHeight="0" orientation="landscape" r:id="rId1"/>
  <headerFooter differentFirst="1" scaleWithDoc="0">
    <oddHeader>&amp;L&amp;G&amp;C&amp;"-,Bold"&amp;16EMSS Antennas &amp;R&amp;"-,Bold"&amp;16SKA Production&amp;12
&amp;"-,Regular"&amp;11Classified: Commercial in Confidence
&amp;F</oddHeader>
    <oddFooter>&amp;L&amp;8
Template no: EA-TEMPLATE-TR_2
DRF/ECP no: EA-ADM-ECP-0008&amp;CPage &amp;"-,Bold"&amp;P &amp;"-,Regular"of &amp;"-,Bold"&amp;N</oddFooter>
    <firstHeader xml:space="preserve">&amp;L&amp;G&amp;C&amp;"-,Bold"&amp;16EMSS Antennas &amp;R&amp;"-,Bold"&amp;16SKA Production&amp;"-,Regular"&amp;11
Classified: Commercial in Confidence
</firstHeader>
    <firstFooter>&amp;L&amp;8Template no: EA-TEMPLATE-TR_2
DRF/ECP no: EA-ADM-ECP-0008&amp;CPage &amp;"-,Bold"&amp;P&amp;"-,Regular" of &amp;"-,Bold"&amp;N</firstFooter>
  </headerFooter>
  <rowBreaks count="1" manualBreakCount="1">
    <brk id="25" max="1638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1]!TR_SetDate">
                <anchor moveWithCells="1" sizeWithCells="1">
                  <from>
                    <xdr:col>12</xdr:col>
                    <xdr:colOff>28575</xdr:colOff>
                    <xdr:row>13</xdr:row>
                    <xdr:rowOff>247650</xdr:rowOff>
                  </from>
                  <to>
                    <xdr:col>13</xdr:col>
                    <xdr:colOff>352425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TR_SetUserName">
                <anchor moveWithCells="1" sizeWithCells="1">
                  <from>
                    <xdr:col>12</xdr:col>
                    <xdr:colOff>66675</xdr:colOff>
                    <xdr:row>18</xdr:row>
                    <xdr:rowOff>38100</xdr:rowOff>
                  </from>
                  <to>
                    <xdr:col>13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1]!'SPF_PreviewPDF True'">
                <anchor moveWithCells="1" sizeWithCells="1">
                  <from>
                    <xdr:col>12</xdr:col>
                    <xdr:colOff>28575</xdr:colOff>
                    <xdr:row>9</xdr:row>
                    <xdr:rowOff>142875</xdr:rowOff>
                  </from>
                  <to>
                    <xdr:col>13</xdr:col>
                    <xdr:colOff>352425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SKA_TR_Submit">
                <anchor moveWithCells="1" sizeWithCells="1">
                  <from>
                    <xdr:col>12</xdr:col>
                    <xdr:colOff>28575</xdr:colOff>
                    <xdr:row>10</xdr:row>
                    <xdr:rowOff>323850</xdr:rowOff>
                  </from>
                  <to>
                    <xdr:col>13</xdr:col>
                    <xdr:colOff>323850</xdr:colOff>
                    <xdr:row>11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0CD8-65CE-4326-AC9F-1B80936974C0}">
  <sheetPr codeName="Sheet4"/>
  <dimension ref="A1:E136"/>
  <sheetViews>
    <sheetView showGridLines="0" view="pageLayout" topLeftCell="A12" zoomScaleNormal="100" workbookViewId="0">
      <selection activeCell="A14" sqref="A14:E41"/>
    </sheetView>
  </sheetViews>
  <sheetFormatPr defaultColWidth="5.140625" defaultRowHeight="15" x14ac:dyDescent="0.25"/>
  <cols>
    <col min="1" max="1" width="56.5703125" style="1" customWidth="1"/>
    <col min="2" max="5" width="18.85546875" customWidth="1"/>
    <col min="6" max="6" width="15.28515625" customWidth="1"/>
  </cols>
  <sheetData>
    <row r="1" spans="1:5" s="2" customFormat="1" ht="15.75" x14ac:dyDescent="0.25">
      <c r="A1" s="66"/>
      <c r="B1" s="67"/>
      <c r="C1" s="67"/>
    </row>
    <row r="2" spans="1:5" s="2" customFormat="1" ht="15.75" x14ac:dyDescent="0.25">
      <c r="A2" s="69" t="s">
        <v>186</v>
      </c>
      <c r="B2" s="67"/>
      <c r="C2" s="67"/>
    </row>
    <row r="3" spans="1:5" ht="30.75" customHeight="1" x14ac:dyDescent="0.25">
      <c r="A3" s="3" t="s">
        <v>172</v>
      </c>
      <c r="B3" s="25" t="s">
        <v>169</v>
      </c>
      <c r="C3" s="5" t="s">
        <v>170</v>
      </c>
      <c r="D3" s="5" t="s">
        <v>171</v>
      </c>
      <c r="E3" s="68" t="s">
        <v>4</v>
      </c>
    </row>
    <row r="4" spans="1:5" ht="30.75" customHeight="1" x14ac:dyDescent="0.25">
      <c r="A4" s="41" t="s">
        <v>194</v>
      </c>
      <c r="B4" s="95" t="s">
        <v>195</v>
      </c>
      <c r="C4" s="95" t="s">
        <v>195</v>
      </c>
      <c r="D4" s="105">
        <v>-6.09</v>
      </c>
      <c r="E4" s="56"/>
    </row>
    <row r="5" spans="1:5" ht="30.75" customHeight="1" x14ac:dyDescent="0.25">
      <c r="A5" s="41" t="s">
        <v>193</v>
      </c>
      <c r="B5" s="95" t="s">
        <v>195</v>
      </c>
      <c r="C5" s="95" t="s">
        <v>195</v>
      </c>
      <c r="D5" s="105">
        <v>-11.76</v>
      </c>
      <c r="E5" s="56"/>
    </row>
    <row r="6" spans="1:5" ht="30.75" customHeight="1" x14ac:dyDescent="0.25">
      <c r="A6" s="41" t="s">
        <v>196</v>
      </c>
      <c r="B6" s="95" t="s">
        <v>128</v>
      </c>
      <c r="C6" s="94">
        <v>35</v>
      </c>
      <c r="D6" s="56">
        <v>31.6</v>
      </c>
      <c r="E6" s="56"/>
    </row>
    <row r="7" spans="1:5" ht="30.75" customHeight="1" x14ac:dyDescent="0.25">
      <c r="A7" s="41" t="s">
        <v>197</v>
      </c>
      <c r="B7" s="95" t="s">
        <v>128</v>
      </c>
      <c r="C7" s="94">
        <v>10</v>
      </c>
      <c r="D7" s="56">
        <v>8.4</v>
      </c>
      <c r="E7" s="56"/>
    </row>
    <row r="8" spans="1:5" ht="33.75" x14ac:dyDescent="0.25">
      <c r="A8" s="41" t="s">
        <v>198</v>
      </c>
      <c r="B8" s="95" t="s">
        <v>128</v>
      </c>
      <c r="C8" s="94" t="s">
        <v>195</v>
      </c>
      <c r="D8" s="105">
        <v>3</v>
      </c>
      <c r="E8" s="56"/>
    </row>
    <row r="9" spans="1:5" ht="33.75" x14ac:dyDescent="0.25">
      <c r="A9" s="41" t="s">
        <v>199</v>
      </c>
      <c r="B9" s="95" t="s">
        <v>128</v>
      </c>
      <c r="C9" s="94" t="s">
        <v>195</v>
      </c>
      <c r="D9" s="105">
        <v>3</v>
      </c>
      <c r="E9" s="56"/>
    </row>
    <row r="10" spans="1:5" s="2" customFormat="1" ht="30.75" customHeight="1" x14ac:dyDescent="0.25">
      <c r="A10" s="41" t="s">
        <v>200</v>
      </c>
      <c r="B10" s="95" t="s">
        <v>128</v>
      </c>
      <c r="C10" s="94" t="s">
        <v>195</v>
      </c>
      <c r="D10" s="105">
        <v>0.22600000000000001</v>
      </c>
      <c r="E10" s="56"/>
    </row>
    <row r="11" spans="1:5" s="2" customFormat="1" ht="30.75" customHeight="1" x14ac:dyDescent="0.25">
      <c r="A11" s="41" t="s">
        <v>201</v>
      </c>
      <c r="B11" s="95" t="s">
        <v>128</v>
      </c>
      <c r="C11" s="94" t="s">
        <v>195</v>
      </c>
      <c r="D11" s="105">
        <v>0.20599999999999999</v>
      </c>
      <c r="E11" s="56"/>
    </row>
    <row r="12" spans="1:5" ht="30.75" customHeight="1" x14ac:dyDescent="0.25">
      <c r="A12" s="66"/>
      <c r="B12" s="67"/>
      <c r="C12" s="67"/>
      <c r="D12" s="2"/>
      <c r="E12" s="2"/>
    </row>
    <row r="13" spans="1:5" ht="14.45" customHeight="1" x14ac:dyDescent="0.25">
      <c r="A13" s="128" t="s">
        <v>202</v>
      </c>
      <c r="B13" s="129"/>
      <c r="C13" s="129"/>
      <c r="D13" s="129"/>
      <c r="E13" s="130"/>
    </row>
    <row r="14" spans="1:5" ht="14.45" customHeight="1" x14ac:dyDescent="0.25">
      <c r="A14" s="127" t="e" vm="1">
        <v>#VALUE!</v>
      </c>
      <c r="B14" s="127"/>
      <c r="C14" s="127"/>
      <c r="D14" s="127"/>
      <c r="E14" s="127"/>
    </row>
    <row r="15" spans="1:5" ht="14.45" customHeight="1" x14ac:dyDescent="0.25">
      <c r="A15" s="127"/>
      <c r="B15" s="127"/>
      <c r="C15" s="127"/>
      <c r="D15" s="127"/>
      <c r="E15" s="127"/>
    </row>
    <row r="16" spans="1:5" ht="14.45" customHeight="1" x14ac:dyDescent="0.25">
      <c r="A16" s="127"/>
      <c r="B16" s="127"/>
      <c r="C16" s="127"/>
      <c r="D16" s="127"/>
      <c r="E16" s="127"/>
    </row>
    <row r="17" spans="1:5" ht="14.45" customHeight="1" x14ac:dyDescent="0.25">
      <c r="A17" s="127"/>
      <c r="B17" s="127"/>
      <c r="C17" s="127"/>
      <c r="D17" s="127"/>
      <c r="E17" s="127"/>
    </row>
    <row r="18" spans="1:5" ht="14.45" customHeight="1" x14ac:dyDescent="0.25">
      <c r="A18" s="127"/>
      <c r="B18" s="127"/>
      <c r="C18" s="127"/>
      <c r="D18" s="127"/>
      <c r="E18" s="127"/>
    </row>
    <row r="19" spans="1:5" ht="14.45" customHeight="1" x14ac:dyDescent="0.25">
      <c r="A19" s="127"/>
      <c r="B19" s="127"/>
      <c r="C19" s="127"/>
      <c r="D19" s="127"/>
      <c r="E19" s="127"/>
    </row>
    <row r="20" spans="1:5" ht="14.45" customHeight="1" x14ac:dyDescent="0.25">
      <c r="A20" s="127"/>
      <c r="B20" s="127"/>
      <c r="C20" s="127"/>
      <c r="D20" s="127"/>
      <c r="E20" s="127"/>
    </row>
    <row r="21" spans="1:5" ht="14.45" customHeight="1" x14ac:dyDescent="0.25">
      <c r="A21" s="127"/>
      <c r="B21" s="127"/>
      <c r="C21" s="127"/>
      <c r="D21" s="127"/>
      <c r="E21" s="127"/>
    </row>
    <row r="22" spans="1:5" ht="14.45" customHeight="1" x14ac:dyDescent="0.25">
      <c r="A22" s="127"/>
      <c r="B22" s="127"/>
      <c r="C22" s="127"/>
      <c r="D22" s="127"/>
      <c r="E22" s="127"/>
    </row>
    <row r="23" spans="1:5" ht="14.45" customHeight="1" x14ac:dyDescent="0.25">
      <c r="A23" s="127"/>
      <c r="B23" s="127"/>
      <c r="C23" s="127"/>
      <c r="D23" s="127"/>
      <c r="E23" s="127"/>
    </row>
    <row r="24" spans="1:5" ht="14.45" customHeight="1" x14ac:dyDescent="0.25">
      <c r="A24" s="127"/>
      <c r="B24" s="127"/>
      <c r="C24" s="127"/>
      <c r="D24" s="127"/>
      <c r="E24" s="127"/>
    </row>
    <row r="25" spans="1:5" ht="14.45" customHeight="1" x14ac:dyDescent="0.25">
      <c r="A25" s="127"/>
      <c r="B25" s="127"/>
      <c r="C25" s="127"/>
      <c r="D25" s="127"/>
      <c r="E25" s="127"/>
    </row>
    <row r="26" spans="1:5" ht="14.45" customHeight="1" x14ac:dyDescent="0.25">
      <c r="A26" s="127"/>
      <c r="B26" s="127"/>
      <c r="C26" s="127"/>
      <c r="D26" s="127"/>
      <c r="E26" s="127"/>
    </row>
    <row r="27" spans="1:5" ht="14.45" customHeight="1" x14ac:dyDescent="0.25">
      <c r="A27" s="127"/>
      <c r="B27" s="127"/>
      <c r="C27" s="127"/>
      <c r="D27" s="127"/>
      <c r="E27" s="127"/>
    </row>
    <row r="28" spans="1:5" ht="14.45" customHeight="1" x14ac:dyDescent="0.25">
      <c r="A28" s="127"/>
      <c r="B28" s="127"/>
      <c r="C28" s="127"/>
      <c r="D28" s="127"/>
      <c r="E28" s="127"/>
    </row>
    <row r="29" spans="1:5" ht="14.45" customHeight="1" x14ac:dyDescent="0.25">
      <c r="A29" s="127"/>
      <c r="B29" s="127"/>
      <c r="C29" s="127"/>
      <c r="D29" s="127"/>
      <c r="E29" s="127"/>
    </row>
    <row r="30" spans="1:5" ht="14.45" customHeight="1" x14ac:dyDescent="0.25">
      <c r="A30" s="127"/>
      <c r="B30" s="127"/>
      <c r="C30" s="127"/>
      <c r="D30" s="127"/>
      <c r="E30" s="127"/>
    </row>
    <row r="31" spans="1:5" ht="14.45" customHeight="1" x14ac:dyDescent="0.25">
      <c r="A31" s="127"/>
      <c r="B31" s="127"/>
      <c r="C31" s="127"/>
      <c r="D31" s="127"/>
      <c r="E31" s="127"/>
    </row>
    <row r="32" spans="1:5" ht="14.45" customHeight="1" x14ac:dyDescent="0.25">
      <c r="A32" s="127"/>
      <c r="B32" s="127"/>
      <c r="C32" s="127"/>
      <c r="D32" s="127"/>
      <c r="E32" s="127"/>
    </row>
    <row r="33" spans="1:5" ht="14.45" customHeight="1" x14ac:dyDescent="0.25">
      <c r="A33" s="127"/>
      <c r="B33" s="127"/>
      <c r="C33" s="127"/>
      <c r="D33" s="127"/>
      <c r="E33" s="127"/>
    </row>
    <row r="34" spans="1:5" ht="14.45" customHeight="1" x14ac:dyDescent="0.25">
      <c r="A34" s="127"/>
      <c r="B34" s="127"/>
      <c r="C34" s="127"/>
      <c r="D34" s="127"/>
      <c r="E34" s="127"/>
    </row>
    <row r="35" spans="1:5" ht="14.45" customHeight="1" x14ac:dyDescent="0.25">
      <c r="A35" s="127"/>
      <c r="B35" s="127"/>
      <c r="C35" s="127"/>
      <c r="D35" s="127"/>
      <c r="E35" s="127"/>
    </row>
    <row r="36" spans="1:5" ht="14.45" customHeight="1" x14ac:dyDescent="0.25">
      <c r="A36" s="127"/>
      <c r="B36" s="127"/>
      <c r="C36" s="127"/>
      <c r="D36" s="127"/>
      <c r="E36" s="127"/>
    </row>
    <row r="37" spans="1:5" ht="14.45" customHeight="1" x14ac:dyDescent="0.25">
      <c r="A37" s="127"/>
      <c r="B37" s="127"/>
      <c r="C37" s="127"/>
      <c r="D37" s="127"/>
      <c r="E37" s="127"/>
    </row>
    <row r="38" spans="1:5" ht="14.45" customHeight="1" x14ac:dyDescent="0.25">
      <c r="A38" s="127"/>
      <c r="B38" s="127"/>
      <c r="C38" s="127"/>
      <c r="D38" s="127"/>
      <c r="E38" s="127"/>
    </row>
    <row r="39" spans="1:5" ht="14.45" customHeight="1" x14ac:dyDescent="0.25">
      <c r="A39" s="127"/>
      <c r="B39" s="127"/>
      <c r="C39" s="127"/>
      <c r="D39" s="127"/>
      <c r="E39" s="127"/>
    </row>
    <row r="40" spans="1:5" ht="14.45" customHeight="1" x14ac:dyDescent="0.25">
      <c r="A40" s="127"/>
      <c r="B40" s="127"/>
      <c r="C40" s="127"/>
      <c r="D40" s="127"/>
      <c r="E40" s="127"/>
    </row>
    <row r="41" spans="1:5" s="2" customFormat="1" ht="15.75" x14ac:dyDescent="0.25">
      <c r="A41" s="127"/>
      <c r="B41" s="127"/>
      <c r="C41" s="127"/>
      <c r="D41" s="127"/>
      <c r="E41" s="127"/>
    </row>
    <row r="42" spans="1:5" s="2" customFormat="1" ht="15.75" x14ac:dyDescent="0.25">
      <c r="A42" s="66"/>
      <c r="B42" s="67"/>
      <c r="C42" s="67"/>
    </row>
    <row r="43" spans="1:5" ht="30.75" customHeight="1" x14ac:dyDescent="0.25">
      <c r="A43" s="71" t="s">
        <v>150</v>
      </c>
      <c r="B43" s="67"/>
      <c r="C43" s="67"/>
      <c r="D43" s="2"/>
      <c r="E43" s="2"/>
    </row>
    <row r="44" spans="1:5" ht="14.45" customHeight="1" x14ac:dyDescent="0.25">
      <c r="A44" s="140" t="s">
        <v>203</v>
      </c>
      <c r="B44" s="140"/>
      <c r="C44" s="140"/>
      <c r="D44" s="140"/>
      <c r="E44" s="140"/>
    </row>
    <row r="45" spans="1:5" ht="14.45" customHeight="1" x14ac:dyDescent="0.25">
      <c r="A45" s="127" t="e" vm="2">
        <v>#VALUE!</v>
      </c>
      <c r="B45" s="127"/>
      <c r="C45" s="127"/>
      <c r="D45" s="127"/>
      <c r="E45" s="127"/>
    </row>
    <row r="46" spans="1:5" ht="14.45" customHeight="1" x14ac:dyDescent="0.25">
      <c r="A46" s="127"/>
      <c r="B46" s="127"/>
      <c r="C46" s="127"/>
      <c r="D46" s="127"/>
      <c r="E46" s="127"/>
    </row>
    <row r="47" spans="1:5" ht="14.45" customHeight="1" x14ac:dyDescent="0.25">
      <c r="A47" s="127"/>
      <c r="B47" s="127"/>
      <c r="C47" s="127"/>
      <c r="D47" s="127"/>
      <c r="E47" s="127"/>
    </row>
    <row r="48" spans="1:5" ht="14.45" customHeight="1" x14ac:dyDescent="0.25">
      <c r="A48" s="127"/>
      <c r="B48" s="127"/>
      <c r="C48" s="127"/>
      <c r="D48" s="127"/>
      <c r="E48" s="127"/>
    </row>
    <row r="49" spans="1:5" ht="14.45" customHeight="1" x14ac:dyDescent="0.25">
      <c r="A49" s="127"/>
      <c r="B49" s="127"/>
      <c r="C49" s="127"/>
      <c r="D49" s="127"/>
      <c r="E49" s="127"/>
    </row>
    <row r="50" spans="1:5" ht="14.45" customHeight="1" x14ac:dyDescent="0.25">
      <c r="A50" s="127"/>
      <c r="B50" s="127"/>
      <c r="C50" s="127"/>
      <c r="D50" s="127"/>
      <c r="E50" s="127"/>
    </row>
    <row r="51" spans="1:5" ht="14.45" customHeight="1" x14ac:dyDescent="0.25">
      <c r="A51" s="127"/>
      <c r="B51" s="127"/>
      <c r="C51" s="127"/>
      <c r="D51" s="127"/>
      <c r="E51" s="127"/>
    </row>
    <row r="52" spans="1:5" ht="14.45" customHeight="1" x14ac:dyDescent="0.25">
      <c r="A52" s="127"/>
      <c r="B52" s="127"/>
      <c r="C52" s="127"/>
      <c r="D52" s="127"/>
      <c r="E52" s="127"/>
    </row>
    <row r="53" spans="1:5" ht="14.45" customHeight="1" x14ac:dyDescent="0.25">
      <c r="A53" s="127"/>
      <c r="B53" s="127"/>
      <c r="C53" s="127"/>
      <c r="D53" s="127"/>
      <c r="E53" s="127"/>
    </row>
    <row r="54" spans="1:5" ht="14.45" customHeight="1" x14ac:dyDescent="0.25">
      <c r="A54" s="127"/>
      <c r="B54" s="127"/>
      <c r="C54" s="127"/>
      <c r="D54" s="127"/>
      <c r="E54" s="127"/>
    </row>
    <row r="55" spans="1:5" ht="14.45" customHeight="1" x14ac:dyDescent="0.25">
      <c r="A55" s="127"/>
      <c r="B55" s="127"/>
      <c r="C55" s="127"/>
      <c r="D55" s="127"/>
      <c r="E55" s="127"/>
    </row>
    <row r="56" spans="1:5" ht="14.45" customHeight="1" x14ac:dyDescent="0.25">
      <c r="A56" s="127"/>
      <c r="B56" s="127"/>
      <c r="C56" s="127"/>
      <c r="D56" s="127"/>
      <c r="E56" s="127"/>
    </row>
    <row r="57" spans="1:5" ht="14.45" customHeight="1" x14ac:dyDescent="0.25">
      <c r="A57" s="127"/>
      <c r="B57" s="127"/>
      <c r="C57" s="127"/>
      <c r="D57" s="127"/>
      <c r="E57" s="127"/>
    </row>
    <row r="58" spans="1:5" ht="14.45" customHeight="1" x14ac:dyDescent="0.25">
      <c r="A58" s="127"/>
      <c r="B58" s="127"/>
      <c r="C58" s="127"/>
      <c r="D58" s="127"/>
      <c r="E58" s="127"/>
    </row>
    <row r="59" spans="1:5" ht="14.45" customHeight="1" x14ac:dyDescent="0.25">
      <c r="A59" s="127"/>
      <c r="B59" s="127"/>
      <c r="C59" s="127"/>
      <c r="D59" s="127"/>
      <c r="E59" s="127"/>
    </row>
    <row r="60" spans="1:5" ht="14.45" customHeight="1" x14ac:dyDescent="0.25">
      <c r="A60" s="127"/>
      <c r="B60" s="127"/>
      <c r="C60" s="127"/>
      <c r="D60" s="127"/>
      <c r="E60" s="127"/>
    </row>
    <row r="61" spans="1:5" ht="14.45" customHeight="1" x14ac:dyDescent="0.25">
      <c r="A61" s="127"/>
      <c r="B61" s="127"/>
      <c r="C61" s="127"/>
      <c r="D61" s="127"/>
      <c r="E61" s="127"/>
    </row>
    <row r="62" spans="1:5" ht="14.45" customHeight="1" x14ac:dyDescent="0.25">
      <c r="A62" s="127"/>
      <c r="B62" s="127"/>
      <c r="C62" s="127"/>
      <c r="D62" s="127"/>
      <c r="E62" s="127"/>
    </row>
    <row r="63" spans="1:5" ht="14.45" customHeight="1" x14ac:dyDescent="0.25">
      <c r="A63" s="127"/>
      <c r="B63" s="127"/>
      <c r="C63" s="127"/>
      <c r="D63" s="127"/>
      <c r="E63" s="127"/>
    </row>
    <row r="64" spans="1:5" ht="14.45" customHeight="1" x14ac:dyDescent="0.25">
      <c r="A64" s="127"/>
      <c r="B64" s="127"/>
      <c r="C64" s="127"/>
      <c r="D64" s="127"/>
      <c r="E64" s="127"/>
    </row>
    <row r="65" spans="1:5" ht="14.45" customHeight="1" x14ac:dyDescent="0.25">
      <c r="A65" s="127"/>
      <c r="B65" s="127"/>
      <c r="C65" s="127"/>
      <c r="D65" s="127"/>
      <c r="E65" s="127"/>
    </row>
    <row r="66" spans="1:5" ht="14.45" customHeight="1" x14ac:dyDescent="0.25">
      <c r="A66" s="127"/>
      <c r="B66" s="127"/>
      <c r="C66" s="127"/>
      <c r="D66" s="127"/>
      <c r="E66" s="127"/>
    </row>
    <row r="67" spans="1:5" ht="14.45" customHeight="1" x14ac:dyDescent="0.25">
      <c r="A67" s="127"/>
      <c r="B67" s="127"/>
      <c r="C67" s="127"/>
      <c r="D67" s="127"/>
      <c r="E67" s="127"/>
    </row>
    <row r="68" spans="1:5" ht="14.45" customHeight="1" x14ac:dyDescent="0.25">
      <c r="A68" s="127"/>
      <c r="B68" s="127"/>
      <c r="C68" s="127"/>
      <c r="D68" s="127"/>
      <c r="E68" s="127"/>
    </row>
    <row r="69" spans="1:5" ht="14.45" customHeight="1" x14ac:dyDescent="0.25">
      <c r="A69" s="127"/>
      <c r="B69" s="127"/>
      <c r="C69" s="127"/>
      <c r="D69" s="127"/>
      <c r="E69" s="127"/>
    </row>
    <row r="70" spans="1:5" ht="14.45" customHeight="1" x14ac:dyDescent="0.25">
      <c r="A70" s="127"/>
      <c r="B70" s="127"/>
      <c r="C70" s="127"/>
      <c r="D70" s="127"/>
      <c r="E70" s="127"/>
    </row>
    <row r="71" spans="1:5" ht="14.45" customHeight="1" x14ac:dyDescent="0.25">
      <c r="A71" s="127"/>
      <c r="B71" s="127"/>
      <c r="C71" s="127"/>
      <c r="D71" s="127"/>
      <c r="E71" s="127"/>
    </row>
    <row r="72" spans="1:5" s="2" customFormat="1" ht="15.75" x14ac:dyDescent="0.25">
      <c r="A72" s="127"/>
      <c r="B72" s="127"/>
      <c r="C72" s="127"/>
      <c r="D72" s="127"/>
      <c r="E72" s="127"/>
    </row>
    <row r="73" spans="1:5" s="2" customFormat="1" ht="15.75" x14ac:dyDescent="0.25">
      <c r="A73" s="66"/>
      <c r="B73" s="67"/>
      <c r="C73" s="67"/>
    </row>
    <row r="74" spans="1:5" ht="30.75" customHeight="1" x14ac:dyDescent="0.25">
      <c r="A74" s="71" t="s">
        <v>150</v>
      </c>
      <c r="B74" s="67"/>
      <c r="C74" s="67"/>
      <c r="D74" s="2"/>
      <c r="E74" s="2"/>
    </row>
    <row r="75" spans="1:5" ht="14.45" customHeight="1" x14ac:dyDescent="0.25">
      <c r="A75" s="140" t="s">
        <v>204</v>
      </c>
      <c r="B75" s="140"/>
      <c r="C75" s="140"/>
      <c r="D75" s="140"/>
      <c r="E75" s="140"/>
    </row>
    <row r="76" spans="1:5" ht="14.45" customHeight="1" x14ac:dyDescent="0.25">
      <c r="A76" s="127" t="e" vm="3">
        <v>#VALUE!</v>
      </c>
      <c r="B76" s="127"/>
      <c r="C76" s="127"/>
      <c r="D76" s="127"/>
      <c r="E76" s="127"/>
    </row>
    <row r="77" spans="1:5" ht="14.45" customHeight="1" x14ac:dyDescent="0.25">
      <c r="A77" s="127"/>
      <c r="B77" s="127"/>
      <c r="C77" s="127"/>
      <c r="D77" s="127"/>
      <c r="E77" s="127"/>
    </row>
    <row r="78" spans="1:5" ht="14.45" customHeight="1" x14ac:dyDescent="0.25">
      <c r="A78" s="127"/>
      <c r="B78" s="127"/>
      <c r="C78" s="127"/>
      <c r="D78" s="127"/>
      <c r="E78" s="127"/>
    </row>
    <row r="79" spans="1:5" ht="14.45" customHeight="1" x14ac:dyDescent="0.25">
      <c r="A79" s="127"/>
      <c r="B79" s="127"/>
      <c r="C79" s="127"/>
      <c r="D79" s="127"/>
      <c r="E79" s="127"/>
    </row>
    <row r="80" spans="1:5" ht="14.45" customHeight="1" x14ac:dyDescent="0.25">
      <c r="A80" s="127"/>
      <c r="B80" s="127"/>
      <c r="C80" s="127"/>
      <c r="D80" s="127"/>
      <c r="E80" s="127"/>
    </row>
    <row r="81" spans="1:5" ht="14.45" customHeight="1" x14ac:dyDescent="0.25">
      <c r="A81" s="127"/>
      <c r="B81" s="127"/>
      <c r="C81" s="127"/>
      <c r="D81" s="127"/>
      <c r="E81" s="127"/>
    </row>
    <row r="82" spans="1:5" ht="14.45" customHeight="1" x14ac:dyDescent="0.25">
      <c r="A82" s="127"/>
      <c r="B82" s="127"/>
      <c r="C82" s="127"/>
      <c r="D82" s="127"/>
      <c r="E82" s="127"/>
    </row>
    <row r="83" spans="1:5" ht="14.45" customHeight="1" x14ac:dyDescent="0.25">
      <c r="A83" s="127"/>
      <c r="B83" s="127"/>
      <c r="C83" s="127"/>
      <c r="D83" s="127"/>
      <c r="E83" s="127"/>
    </row>
    <row r="84" spans="1:5" ht="14.45" customHeight="1" x14ac:dyDescent="0.25">
      <c r="A84" s="127"/>
      <c r="B84" s="127"/>
      <c r="C84" s="127"/>
      <c r="D84" s="127"/>
      <c r="E84" s="127"/>
    </row>
    <row r="85" spans="1:5" ht="14.45" customHeight="1" x14ac:dyDescent="0.25">
      <c r="A85" s="127"/>
      <c r="B85" s="127"/>
      <c r="C85" s="127"/>
      <c r="D85" s="127"/>
      <c r="E85" s="127"/>
    </row>
    <row r="86" spans="1:5" ht="14.45" customHeight="1" x14ac:dyDescent="0.25">
      <c r="A86" s="127"/>
      <c r="B86" s="127"/>
      <c r="C86" s="127"/>
      <c r="D86" s="127"/>
      <c r="E86" s="127"/>
    </row>
    <row r="87" spans="1:5" ht="14.45" customHeight="1" x14ac:dyDescent="0.25">
      <c r="A87" s="127"/>
      <c r="B87" s="127"/>
      <c r="C87" s="127"/>
      <c r="D87" s="127"/>
      <c r="E87" s="127"/>
    </row>
    <row r="88" spans="1:5" ht="14.45" customHeight="1" x14ac:dyDescent="0.25">
      <c r="A88" s="127"/>
      <c r="B88" s="127"/>
      <c r="C88" s="127"/>
      <c r="D88" s="127"/>
      <c r="E88" s="127"/>
    </row>
    <row r="89" spans="1:5" ht="14.45" customHeight="1" x14ac:dyDescent="0.25">
      <c r="A89" s="127"/>
      <c r="B89" s="127"/>
      <c r="C89" s="127"/>
      <c r="D89" s="127"/>
      <c r="E89" s="127"/>
    </row>
    <row r="90" spans="1:5" ht="14.45" customHeight="1" x14ac:dyDescent="0.25">
      <c r="A90" s="127"/>
      <c r="B90" s="127"/>
      <c r="C90" s="127"/>
      <c r="D90" s="127"/>
      <c r="E90" s="127"/>
    </row>
    <row r="91" spans="1:5" ht="14.45" customHeight="1" x14ac:dyDescent="0.25">
      <c r="A91" s="127"/>
      <c r="B91" s="127"/>
      <c r="C91" s="127"/>
      <c r="D91" s="127"/>
      <c r="E91" s="127"/>
    </row>
    <row r="92" spans="1:5" ht="14.45" customHeight="1" x14ac:dyDescent="0.25">
      <c r="A92" s="127"/>
      <c r="B92" s="127"/>
      <c r="C92" s="127"/>
      <c r="D92" s="127"/>
      <c r="E92" s="127"/>
    </row>
    <row r="93" spans="1:5" ht="14.45" customHeight="1" x14ac:dyDescent="0.25">
      <c r="A93" s="127"/>
      <c r="B93" s="127"/>
      <c r="C93" s="127"/>
      <c r="D93" s="127"/>
      <c r="E93" s="127"/>
    </row>
    <row r="94" spans="1:5" ht="14.45" customHeight="1" x14ac:dyDescent="0.25">
      <c r="A94" s="127"/>
      <c r="B94" s="127"/>
      <c r="C94" s="127"/>
      <c r="D94" s="127"/>
      <c r="E94" s="127"/>
    </row>
    <row r="95" spans="1:5" ht="14.45" customHeight="1" x14ac:dyDescent="0.25">
      <c r="A95" s="127"/>
      <c r="B95" s="127"/>
      <c r="C95" s="127"/>
      <c r="D95" s="127"/>
      <c r="E95" s="127"/>
    </row>
    <row r="96" spans="1:5" ht="14.45" customHeight="1" x14ac:dyDescent="0.25">
      <c r="A96" s="127"/>
      <c r="B96" s="127"/>
      <c r="C96" s="127"/>
      <c r="D96" s="127"/>
      <c r="E96" s="127"/>
    </row>
    <row r="97" spans="1:5" ht="14.45" customHeight="1" x14ac:dyDescent="0.25">
      <c r="A97" s="127"/>
      <c r="B97" s="127"/>
      <c r="C97" s="127"/>
      <c r="D97" s="127"/>
      <c r="E97" s="127"/>
    </row>
    <row r="98" spans="1:5" ht="14.45" customHeight="1" x14ac:dyDescent="0.25">
      <c r="A98" s="127"/>
      <c r="B98" s="127"/>
      <c r="C98" s="127"/>
      <c r="D98" s="127"/>
      <c r="E98" s="127"/>
    </row>
    <row r="99" spans="1:5" ht="14.45" customHeight="1" x14ac:dyDescent="0.25">
      <c r="A99" s="127"/>
      <c r="B99" s="127"/>
      <c r="C99" s="127"/>
      <c r="D99" s="127"/>
      <c r="E99" s="127"/>
    </row>
    <row r="100" spans="1:5" ht="14.45" customHeight="1" x14ac:dyDescent="0.25">
      <c r="A100" s="127"/>
      <c r="B100" s="127"/>
      <c r="C100" s="127"/>
      <c r="D100" s="127"/>
      <c r="E100" s="127"/>
    </row>
    <row r="101" spans="1:5" ht="14.45" customHeight="1" x14ac:dyDescent="0.25">
      <c r="A101" s="127"/>
      <c r="B101" s="127"/>
      <c r="C101" s="127"/>
      <c r="D101" s="127"/>
      <c r="E101" s="127"/>
    </row>
    <row r="102" spans="1:5" ht="14.45" customHeight="1" x14ac:dyDescent="0.25">
      <c r="A102" s="127"/>
      <c r="B102" s="127"/>
      <c r="C102" s="127"/>
      <c r="D102" s="127"/>
      <c r="E102" s="127"/>
    </row>
    <row r="103" spans="1:5" s="2" customFormat="1" ht="15.75" x14ac:dyDescent="0.25">
      <c r="A103" s="127"/>
      <c r="B103" s="127"/>
      <c r="C103" s="127"/>
      <c r="D103" s="127"/>
      <c r="E103" s="127"/>
    </row>
    <row r="104" spans="1:5" s="2" customFormat="1" ht="15.75" x14ac:dyDescent="0.25">
      <c r="A104" s="66"/>
      <c r="B104" s="67"/>
      <c r="C104" s="67"/>
    </row>
    <row r="105" spans="1:5" ht="30.75" customHeight="1" x14ac:dyDescent="0.25">
      <c r="A105" s="71" t="s">
        <v>150</v>
      </c>
      <c r="B105" s="67"/>
      <c r="C105" s="67"/>
      <c r="D105" s="2"/>
      <c r="E105" s="2"/>
    </row>
    <row r="106" spans="1:5" ht="14.45" customHeight="1" x14ac:dyDescent="0.25">
      <c r="A106" s="128" t="s">
        <v>20</v>
      </c>
      <c r="B106" s="129"/>
      <c r="C106" s="129"/>
      <c r="D106" s="129"/>
      <c r="E106" s="130"/>
    </row>
    <row r="107" spans="1:5" ht="14.45" customHeight="1" x14ac:dyDescent="0.25">
      <c r="A107" s="131"/>
      <c r="B107" s="132"/>
      <c r="C107" s="132"/>
      <c r="D107" s="132"/>
      <c r="E107" s="133"/>
    </row>
    <row r="108" spans="1:5" ht="14.45" customHeight="1" x14ac:dyDescent="0.25">
      <c r="A108" s="134"/>
      <c r="B108" s="135"/>
      <c r="C108" s="135"/>
      <c r="D108" s="135"/>
      <c r="E108" s="136"/>
    </row>
    <row r="109" spans="1:5" ht="14.45" customHeight="1" x14ac:dyDescent="0.25">
      <c r="A109" s="134"/>
      <c r="B109" s="135"/>
      <c r="C109" s="135"/>
      <c r="D109" s="135"/>
      <c r="E109" s="136"/>
    </row>
    <row r="110" spans="1:5" ht="14.45" customHeight="1" x14ac:dyDescent="0.25">
      <c r="A110" s="134"/>
      <c r="B110" s="135"/>
      <c r="C110" s="135"/>
      <c r="D110" s="135"/>
      <c r="E110" s="136"/>
    </row>
    <row r="111" spans="1:5" ht="14.45" customHeight="1" x14ac:dyDescent="0.25">
      <c r="A111" s="134"/>
      <c r="B111" s="135"/>
      <c r="C111" s="135"/>
      <c r="D111" s="135"/>
      <c r="E111" s="136"/>
    </row>
    <row r="112" spans="1:5" ht="14.45" customHeight="1" x14ac:dyDescent="0.25">
      <c r="A112" s="134"/>
      <c r="B112" s="135"/>
      <c r="C112" s="135"/>
      <c r="D112" s="135"/>
      <c r="E112" s="136"/>
    </row>
    <row r="113" spans="1:5" ht="14.45" customHeight="1" x14ac:dyDescent="0.25">
      <c r="A113" s="134"/>
      <c r="B113" s="135"/>
      <c r="C113" s="135"/>
      <c r="D113" s="135"/>
      <c r="E113" s="136"/>
    </row>
    <row r="114" spans="1:5" ht="14.45" customHeight="1" x14ac:dyDescent="0.25">
      <c r="A114" s="134"/>
      <c r="B114" s="135"/>
      <c r="C114" s="135"/>
      <c r="D114" s="135"/>
      <c r="E114" s="136"/>
    </row>
    <row r="115" spans="1:5" ht="14.45" customHeight="1" x14ac:dyDescent="0.25">
      <c r="A115" s="134"/>
      <c r="B115" s="135"/>
      <c r="C115" s="135"/>
      <c r="D115" s="135"/>
      <c r="E115" s="136"/>
    </row>
    <row r="116" spans="1:5" ht="14.45" customHeight="1" x14ac:dyDescent="0.25">
      <c r="A116" s="134"/>
      <c r="B116" s="135"/>
      <c r="C116" s="135"/>
      <c r="D116" s="135"/>
      <c r="E116" s="136"/>
    </row>
    <row r="117" spans="1:5" ht="14.45" customHeight="1" x14ac:dyDescent="0.25">
      <c r="A117" s="134"/>
      <c r="B117" s="135"/>
      <c r="C117" s="135"/>
      <c r="D117" s="135"/>
      <c r="E117" s="136"/>
    </row>
    <row r="118" spans="1:5" ht="14.45" customHeight="1" x14ac:dyDescent="0.25">
      <c r="A118" s="134"/>
      <c r="B118" s="135"/>
      <c r="C118" s="135"/>
      <c r="D118" s="135"/>
      <c r="E118" s="136"/>
    </row>
    <row r="119" spans="1:5" ht="14.45" customHeight="1" x14ac:dyDescent="0.25">
      <c r="A119" s="134"/>
      <c r="B119" s="135"/>
      <c r="C119" s="135"/>
      <c r="D119" s="135"/>
      <c r="E119" s="136"/>
    </row>
    <row r="120" spans="1:5" ht="14.45" customHeight="1" x14ac:dyDescent="0.25">
      <c r="A120" s="134"/>
      <c r="B120" s="135"/>
      <c r="C120" s="135"/>
      <c r="D120" s="135"/>
      <c r="E120" s="136"/>
    </row>
    <row r="121" spans="1:5" ht="14.45" customHeight="1" x14ac:dyDescent="0.25">
      <c r="A121" s="134"/>
      <c r="B121" s="135"/>
      <c r="C121" s="135"/>
      <c r="D121" s="135"/>
      <c r="E121" s="136"/>
    </row>
    <row r="122" spans="1:5" ht="14.45" customHeight="1" x14ac:dyDescent="0.25">
      <c r="A122" s="134"/>
      <c r="B122" s="135"/>
      <c r="C122" s="135"/>
      <c r="D122" s="135"/>
      <c r="E122" s="136"/>
    </row>
    <row r="123" spans="1:5" ht="14.45" customHeight="1" x14ac:dyDescent="0.25">
      <c r="A123" s="134"/>
      <c r="B123" s="135"/>
      <c r="C123" s="135"/>
      <c r="D123" s="135"/>
      <c r="E123" s="136"/>
    </row>
    <row r="124" spans="1:5" ht="14.45" customHeight="1" x14ac:dyDescent="0.25">
      <c r="A124" s="134"/>
      <c r="B124" s="135"/>
      <c r="C124" s="135"/>
      <c r="D124" s="135"/>
      <c r="E124" s="136"/>
    </row>
    <row r="125" spans="1:5" ht="14.45" customHeight="1" x14ac:dyDescent="0.25">
      <c r="A125" s="134"/>
      <c r="B125" s="135"/>
      <c r="C125" s="135"/>
      <c r="D125" s="135"/>
      <c r="E125" s="136"/>
    </row>
    <row r="126" spans="1:5" ht="14.45" customHeight="1" x14ac:dyDescent="0.25">
      <c r="A126" s="134"/>
      <c r="B126" s="135"/>
      <c r="C126" s="135"/>
      <c r="D126" s="135"/>
      <c r="E126" s="136"/>
    </row>
    <row r="127" spans="1:5" ht="14.45" customHeight="1" x14ac:dyDescent="0.25">
      <c r="A127" s="134"/>
      <c r="B127" s="135"/>
      <c r="C127" s="135"/>
      <c r="D127" s="135"/>
      <c r="E127" s="136"/>
    </row>
    <row r="128" spans="1:5" ht="14.45" customHeight="1" x14ac:dyDescent="0.25">
      <c r="A128" s="134"/>
      <c r="B128" s="135"/>
      <c r="C128" s="135"/>
      <c r="D128" s="135"/>
      <c r="E128" s="136"/>
    </row>
    <row r="129" spans="1:5" ht="14.45" customHeight="1" x14ac:dyDescent="0.25">
      <c r="A129" s="134"/>
      <c r="B129" s="135"/>
      <c r="C129" s="135"/>
      <c r="D129" s="135"/>
      <c r="E129" s="136"/>
    </row>
    <row r="130" spans="1:5" ht="14.45" customHeight="1" x14ac:dyDescent="0.25">
      <c r="A130" s="134"/>
      <c r="B130" s="135"/>
      <c r="C130" s="135"/>
      <c r="D130" s="135"/>
      <c r="E130" s="136"/>
    </row>
    <row r="131" spans="1:5" ht="14.45" customHeight="1" x14ac:dyDescent="0.25">
      <c r="A131" s="134"/>
      <c r="B131" s="135"/>
      <c r="C131" s="135"/>
      <c r="D131" s="135"/>
      <c r="E131" s="136"/>
    </row>
    <row r="132" spans="1:5" ht="14.45" customHeight="1" x14ac:dyDescent="0.25">
      <c r="A132" s="134"/>
      <c r="B132" s="135"/>
      <c r="C132" s="135"/>
      <c r="D132" s="135"/>
      <c r="E132" s="136"/>
    </row>
    <row r="133" spans="1:5" ht="14.45" customHeight="1" x14ac:dyDescent="0.25">
      <c r="A133" s="134"/>
      <c r="B133" s="135"/>
      <c r="C133" s="135"/>
      <c r="D133" s="135"/>
      <c r="E133" s="136"/>
    </row>
    <row r="134" spans="1:5" ht="27" customHeight="1" x14ac:dyDescent="0.25">
      <c r="A134" s="137"/>
      <c r="B134" s="138"/>
      <c r="C134" s="138"/>
      <c r="D134" s="138"/>
      <c r="E134" s="139"/>
    </row>
    <row r="135" spans="1:5" ht="31.9" customHeight="1" x14ac:dyDescent="0.25">
      <c r="A135"/>
    </row>
    <row r="136" spans="1:5" x14ac:dyDescent="0.25">
      <c r="A136"/>
    </row>
  </sheetData>
  <sheetProtection selectLockedCells="1"/>
  <mergeCells count="8">
    <mergeCell ref="A76:E103"/>
    <mergeCell ref="A106:E106"/>
    <mergeCell ref="A107:E134"/>
    <mergeCell ref="A13:E13"/>
    <mergeCell ref="A14:E41"/>
    <mergeCell ref="A44:E44"/>
    <mergeCell ref="A45:E72"/>
    <mergeCell ref="A75:E7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2" fitToWidth="0" fitToHeight="0" orientation="landscape" r:id="rId1"/>
  <headerFooter scaleWithDoc="0">
    <oddHeader>&amp;L&amp;G&amp;C&amp;"-,Bold"&amp;16EMSS Antennas &amp;R&amp;"-,Bold"&amp;16SKA Production&amp;12
&amp;"-,Regular"&amp;11Classified: Commercial in Confidence
&amp;F</oddHeader>
    <oddFooter>&amp;L&amp;8
Template no: EA-TEMPLATE-TR_2
DRF/ECP no: EA-ADM-ECP-0008&amp;CPage &amp;"-,Bold"&amp;P &amp;"-,Regular"of &amp;"-,Bold"&amp;N</oddFooter>
    <firstHeader>&amp;L&amp;G&amp;C&amp;"-,Bold"&amp;16EMSS Antennas &amp;R&amp;"-,Bold"&amp;16SKA Production&amp;"-,Regular"&amp;11
Classified: Commercial in Confidence
&amp;F</firstHeader>
    <firstFooter>&amp;L&amp;8Template no: EA-TEMPLATE-TR_2
DRF/ECP no: EA-ADM-ECP-0008&amp;CPage &amp;"-,Bold"&amp;P&amp;"-,Regular" of &amp;"-,Bold"&amp;N</firstFooter>
  </headerFooter>
  <rowBreaks count="4" manualBreakCount="4">
    <brk id="11" max="4" man="1"/>
    <brk id="41" max="4" man="1"/>
    <brk id="72" max="4" man="1"/>
    <brk id="103" max="4" man="1"/>
  </rowBreaks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N28"/>
  <sheetViews>
    <sheetView workbookViewId="0"/>
  </sheetViews>
  <sheetFormatPr defaultColWidth="9.140625" defaultRowHeight="15" x14ac:dyDescent="0.25"/>
  <cols>
    <col min="2" max="2" width="2.7109375" customWidth="1"/>
    <col min="6" max="6" width="10.28515625" customWidth="1"/>
    <col min="7" max="7" width="13.28515625" bestFit="1" customWidth="1"/>
  </cols>
  <sheetData>
    <row r="3" spans="1:14" s="2" customFormat="1" ht="15.75" x14ac:dyDescent="0.25">
      <c r="A3" s="141" t="s">
        <v>8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</row>
    <row r="4" spans="1:14" s="2" customFormat="1" ht="15.75" x14ac:dyDescent="0.25">
      <c r="A4" s="2" t="s">
        <v>48</v>
      </c>
    </row>
    <row r="5" spans="1:14" s="2" customFormat="1" ht="15.75" x14ac:dyDescent="0.25"/>
    <row r="6" spans="1:14" s="2" customFormat="1" ht="16.5" x14ac:dyDescent="0.3">
      <c r="B6" s="4"/>
      <c r="C6" s="2" t="s">
        <v>80</v>
      </c>
      <c r="D6" s="22"/>
      <c r="F6" s="22"/>
      <c r="G6" s="2" t="s">
        <v>9</v>
      </c>
      <c r="H6" s="38" t="str">
        <f>IF('Notes (2)'!C8="","MM",'Notes (2)'!C8)</f>
        <v>MM</v>
      </c>
      <c r="I6" s="38" t="str">
        <f>IF('Notes (2)'!D8="","YYYY",'Notes (2)'!D8)</f>
        <v>YYYY</v>
      </c>
    </row>
    <row r="7" spans="1:14" s="2" customFormat="1" ht="16.5" x14ac:dyDescent="0.3">
      <c r="B7" s="23"/>
      <c r="D7" s="22"/>
      <c r="F7" s="22"/>
      <c r="H7" s="24"/>
      <c r="I7" s="24"/>
    </row>
    <row r="8" spans="1:14" s="2" customFormat="1" ht="15.75" x14ac:dyDescent="0.25">
      <c r="A8" s="142" t="s">
        <v>5</v>
      </c>
      <c r="B8" s="142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</row>
    <row r="9" spans="1:14" ht="15" customHeight="1" x14ac:dyDescent="0.25">
      <c r="A9" s="143"/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5"/>
    </row>
    <row r="10" spans="1:14" ht="15" customHeight="1" x14ac:dyDescent="0.25">
      <c r="A10" s="146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8"/>
    </row>
    <row r="11" spans="1:14" ht="15" customHeight="1" x14ac:dyDescent="0.25">
      <c r="A11" s="146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8"/>
    </row>
    <row r="12" spans="1:14" ht="15" customHeight="1" x14ac:dyDescent="0.25">
      <c r="A12" s="146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8"/>
    </row>
    <row r="13" spans="1:14" ht="15" customHeight="1" x14ac:dyDescent="0.25">
      <c r="A13" s="146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8"/>
    </row>
    <row r="14" spans="1:14" ht="15" customHeight="1" x14ac:dyDescent="0.25">
      <c r="A14" s="146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8"/>
    </row>
    <row r="15" spans="1:14" ht="15" customHeight="1" x14ac:dyDescent="0.25">
      <c r="A15" s="146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8"/>
    </row>
    <row r="16" spans="1:14" ht="15" customHeight="1" x14ac:dyDescent="0.25">
      <c r="A16" s="146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8"/>
    </row>
    <row r="17" spans="1:14" ht="15" customHeight="1" x14ac:dyDescent="0.25">
      <c r="A17" s="146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8"/>
    </row>
    <row r="18" spans="1:14" ht="15" customHeight="1" x14ac:dyDescent="0.25">
      <c r="A18" s="146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8"/>
    </row>
    <row r="19" spans="1:14" ht="15" customHeight="1" x14ac:dyDescent="0.25">
      <c r="A19" s="14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8"/>
    </row>
    <row r="20" spans="1:14" ht="15" customHeight="1" x14ac:dyDescent="0.25">
      <c r="A20" s="146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8"/>
    </row>
    <row r="21" spans="1:14" ht="15" customHeight="1" x14ac:dyDescent="0.25">
      <c r="A21" s="146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8"/>
    </row>
    <row r="22" spans="1:14" ht="15" customHeight="1" x14ac:dyDescent="0.25">
      <c r="A22" s="146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8"/>
    </row>
    <row r="23" spans="1:14" ht="15" customHeight="1" x14ac:dyDescent="0.25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8"/>
    </row>
    <row r="24" spans="1:14" ht="15" customHeight="1" x14ac:dyDescent="0.25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8"/>
    </row>
    <row r="25" spans="1:14" ht="15" customHeight="1" x14ac:dyDescent="0.25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8"/>
    </row>
    <row r="26" spans="1:14" ht="15" customHeight="1" x14ac:dyDescent="0.25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8"/>
    </row>
    <row r="27" spans="1:14" ht="15" customHeight="1" x14ac:dyDescent="0.25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8"/>
    </row>
    <row r="28" spans="1:14" ht="15" customHeight="1" x14ac:dyDescent="0.25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1"/>
    </row>
  </sheetData>
  <sheetProtection selectLockedCells="1"/>
  <mergeCells count="3">
    <mergeCell ref="A3:N3"/>
    <mergeCell ref="A8:N8"/>
    <mergeCell ref="A9:N28"/>
  </mergeCells>
  <phoneticPr fontId="12" type="noConversion"/>
  <printOptions horizontalCentered="1"/>
  <pageMargins left="0.70866141732283505" right="0.70866141732283505" top="0.74803149606299202" bottom="0.74803149606299202" header="0.31496062992126" footer="0.31496062992126"/>
  <pageSetup paperSize="9" scale="97" orientation="landscape" r:id="rId1"/>
  <headerFooter scaleWithDoc="0">
    <oddHeader>&amp;L&amp;G&amp;C&amp;"-,Bold"&amp;16EMSS Antennas &amp;R&amp;"-,Bold"&amp;16SKA Production&amp;12
&amp;"-,Regular"&amp;11Classified: Commercial in Confidence
&amp;F</oddHeader>
    <oddFooter>&amp;L&amp;8Template no: EA-TEMPLATE-TR_2
DRF/ECP no: EA-ADM-ECP-0008&amp;CPage &amp;"-,Bold"&amp;P &amp;"-,Regular"of &amp;"-,Bold"&amp;N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98C8B-009D-49EF-B8BB-1073CBFBA983}">
  <sheetPr codeName="Sheet11"/>
  <dimension ref="A1:G34"/>
  <sheetViews>
    <sheetView topLeftCell="A7" workbookViewId="0">
      <selection activeCell="B32" sqref="B32"/>
    </sheetView>
  </sheetViews>
  <sheetFormatPr defaultColWidth="9.140625" defaultRowHeight="15" x14ac:dyDescent="0.25"/>
  <cols>
    <col min="1" max="1" width="30.7109375" style="7" customWidth="1"/>
    <col min="2" max="2" width="20.5703125" style="7" customWidth="1"/>
    <col min="3" max="16384" width="9.140625" style="7"/>
  </cols>
  <sheetData>
    <row r="1" spans="1:7" ht="26.25" x14ac:dyDescent="0.4">
      <c r="A1" s="152" t="s">
        <v>21</v>
      </c>
      <c r="B1" s="152"/>
      <c r="C1" s="152"/>
      <c r="D1" s="152"/>
      <c r="E1" s="152"/>
      <c r="F1" s="152"/>
      <c r="G1" s="152"/>
    </row>
    <row r="2" spans="1:7" ht="35.25" customHeight="1" x14ac:dyDescent="0.25"/>
    <row r="3" spans="1:7" s="75" customFormat="1" ht="18.75" x14ac:dyDescent="0.3">
      <c r="A3" s="73" t="s">
        <v>22</v>
      </c>
      <c r="B3" s="74"/>
    </row>
    <row r="4" spans="1:7" ht="18.75" x14ac:dyDescent="0.3">
      <c r="A4" s="8" t="s">
        <v>23</v>
      </c>
      <c r="B4" s="36"/>
    </row>
    <row r="5" spans="1:7" ht="18.75" x14ac:dyDescent="0.3">
      <c r="A5" s="8" t="s">
        <v>24</v>
      </c>
      <c r="B5" s="29"/>
    </row>
    <row r="6" spans="1:7" ht="18.75" x14ac:dyDescent="0.3">
      <c r="A6" s="8" t="s">
        <v>52</v>
      </c>
      <c r="B6" s="29"/>
    </row>
    <row r="7" spans="1:7" s="75" customFormat="1" ht="18.75" x14ac:dyDescent="0.3">
      <c r="A7" s="76" t="s">
        <v>26</v>
      </c>
      <c r="B7" s="77"/>
      <c r="C7" s="78"/>
    </row>
    <row r="8" spans="1:7" x14ac:dyDescent="0.25">
      <c r="B8" s="30"/>
    </row>
    <row r="9" spans="1:7" s="101" customFormat="1" ht="18.75" x14ac:dyDescent="0.3">
      <c r="A9" s="97" t="s">
        <v>27</v>
      </c>
      <c r="B9" s="98"/>
      <c r="C9" s="99"/>
      <c r="D9" s="100"/>
    </row>
    <row r="10" spans="1:7" x14ac:dyDescent="0.25">
      <c r="B10" s="26"/>
    </row>
    <row r="11" spans="1:7" ht="18.75" x14ac:dyDescent="0.3">
      <c r="A11" s="8" t="s">
        <v>28</v>
      </c>
      <c r="B11" s="93"/>
      <c r="C11" s="31"/>
      <c r="D11" s="9"/>
    </row>
    <row r="12" spans="1:7" x14ac:dyDescent="0.25">
      <c r="B12" s="10"/>
    </row>
    <row r="13" spans="1:7" s="75" customFormat="1" x14ac:dyDescent="0.25">
      <c r="A13" s="79" t="s">
        <v>29</v>
      </c>
      <c r="B13" s="80" t="s">
        <v>30</v>
      </c>
    </row>
    <row r="14" spans="1:7" s="75" customFormat="1" x14ac:dyDescent="0.25">
      <c r="A14" s="75" t="s">
        <v>31</v>
      </c>
      <c r="B14" s="81"/>
    </row>
    <row r="15" spans="1:7" s="75" customFormat="1" x14ac:dyDescent="0.25">
      <c r="A15" s="75" t="s">
        <v>32</v>
      </c>
      <c r="B15" s="81"/>
      <c r="F15" s="82"/>
    </row>
    <row r="16" spans="1:7" s="75" customFormat="1" x14ac:dyDescent="0.25">
      <c r="A16" s="75" t="s">
        <v>33</v>
      </c>
      <c r="B16" s="81"/>
    </row>
    <row r="17" spans="1:2" s="75" customFormat="1" x14ac:dyDescent="0.25">
      <c r="A17" s="75" t="s">
        <v>15</v>
      </c>
      <c r="B17" s="83"/>
    </row>
    <row r="18" spans="1:2" s="75" customFormat="1" x14ac:dyDescent="0.25">
      <c r="A18" s="75" t="s">
        <v>16</v>
      </c>
      <c r="B18" s="84"/>
    </row>
    <row r="19" spans="1:2" s="75" customFormat="1" x14ac:dyDescent="0.25">
      <c r="A19" s="85" t="s">
        <v>17</v>
      </c>
      <c r="B19" s="81"/>
    </row>
    <row r="20" spans="1:2" s="75" customFormat="1" x14ac:dyDescent="0.25">
      <c r="A20" s="85" t="s">
        <v>18</v>
      </c>
      <c r="B20" s="81"/>
    </row>
    <row r="21" spans="1:2" s="75" customFormat="1" x14ac:dyDescent="0.25">
      <c r="A21" s="75" t="s">
        <v>34</v>
      </c>
      <c r="B21" s="81"/>
    </row>
    <row r="22" spans="1:2" s="75" customFormat="1" x14ac:dyDescent="0.25">
      <c r="A22" s="75" t="s">
        <v>19</v>
      </c>
      <c r="B22" s="81"/>
    </row>
    <row r="23" spans="1:2" s="75" customFormat="1" x14ac:dyDescent="0.25">
      <c r="A23" s="75" t="s">
        <v>35</v>
      </c>
      <c r="B23" s="81"/>
    </row>
    <row r="24" spans="1:2" s="75" customFormat="1" x14ac:dyDescent="0.25">
      <c r="A24" s="75" t="s">
        <v>40</v>
      </c>
      <c r="B24" s="81"/>
    </row>
    <row r="25" spans="1:2" s="75" customFormat="1" ht="60" x14ac:dyDescent="0.25">
      <c r="A25" s="86" t="s">
        <v>53</v>
      </c>
      <c r="B25" s="87"/>
    </row>
    <row r="26" spans="1:2" x14ac:dyDescent="0.25">
      <c r="A26" s="14"/>
    </row>
    <row r="27" spans="1:2" x14ac:dyDescent="0.25">
      <c r="A27" s="15" t="s">
        <v>36</v>
      </c>
    </row>
    <row r="29" spans="1:2" x14ac:dyDescent="0.25">
      <c r="A29" s="7" t="s">
        <v>121</v>
      </c>
      <c r="B29" s="27"/>
    </row>
    <row r="30" spans="1:2" x14ac:dyDescent="0.25">
      <c r="A30" s="7" t="s">
        <v>122</v>
      </c>
      <c r="B30" s="27"/>
    </row>
    <row r="31" spans="1:2" x14ac:dyDescent="0.25">
      <c r="A31" s="7" t="s">
        <v>123</v>
      </c>
      <c r="B31" s="27"/>
    </row>
    <row r="32" spans="1:2" x14ac:dyDescent="0.25">
      <c r="A32" s="7" t="s">
        <v>166</v>
      </c>
      <c r="B32" s="27"/>
    </row>
    <row r="33" spans="1:2" x14ac:dyDescent="0.25">
      <c r="A33" s="7" t="s">
        <v>167</v>
      </c>
      <c r="B33" s="27"/>
    </row>
    <row r="34" spans="1:2" x14ac:dyDescent="0.25">
      <c r="A34" s="11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A7CC0-3E24-4A36-9DAC-E779A4D53C2C}">
  <sheetPr codeName="Sheet12"/>
  <dimension ref="A1:L28"/>
  <sheetViews>
    <sheetView workbookViewId="0">
      <selection activeCell="B6" sqref="B6"/>
    </sheetView>
  </sheetViews>
  <sheetFormatPr defaultColWidth="9.140625" defaultRowHeight="15" x14ac:dyDescent="0.25"/>
  <cols>
    <col min="1" max="1" width="33.85546875" style="7" customWidth="1"/>
    <col min="2" max="2" width="62.7109375" style="7" customWidth="1"/>
    <col min="3" max="3" width="10.5703125" style="7" customWidth="1"/>
    <col min="4" max="6" width="9.140625" style="7"/>
    <col min="7" max="7" width="9.140625" style="7" customWidth="1"/>
    <col min="8" max="16384" width="9.140625" style="7"/>
  </cols>
  <sheetData>
    <row r="1" spans="1:12" ht="26.25" x14ac:dyDescent="0.4">
      <c r="A1" s="152" t="s">
        <v>156</v>
      </c>
      <c r="B1" s="152"/>
      <c r="C1" s="152"/>
      <c r="D1" s="152"/>
      <c r="E1" s="152"/>
      <c r="F1" s="152"/>
      <c r="G1" s="152"/>
    </row>
    <row r="2" spans="1:12" ht="35.25" customHeight="1" x14ac:dyDescent="0.25"/>
    <row r="3" spans="1:12" ht="20.100000000000001" customHeight="1" x14ac:dyDescent="0.25">
      <c r="A3" s="18" t="s">
        <v>37</v>
      </c>
      <c r="B3" s="28" t="s">
        <v>38</v>
      </c>
    </row>
    <row r="4" spans="1:12" ht="20.100000000000001" customHeight="1" x14ac:dyDescent="0.25">
      <c r="A4" s="18"/>
      <c r="B4" s="28" t="s">
        <v>38</v>
      </c>
    </row>
    <row r="5" spans="1:12" ht="20.100000000000001" customHeight="1" x14ac:dyDescent="0.25">
      <c r="A5" s="18"/>
      <c r="B5" s="28" t="s">
        <v>38</v>
      </c>
    </row>
    <row r="6" spans="1:12" ht="15" customHeight="1" x14ac:dyDescent="0.25">
      <c r="A6" s="19"/>
      <c r="B6" s="19"/>
      <c r="C6" s="19"/>
      <c r="D6" s="19"/>
      <c r="E6" s="19"/>
    </row>
    <row r="7" spans="1:12" ht="15" customHeight="1" x14ac:dyDescent="0.25">
      <c r="A7" s="19"/>
      <c r="B7" s="19"/>
      <c r="C7" s="19"/>
      <c r="D7" s="19"/>
    </row>
    <row r="8" spans="1:12" ht="15" customHeight="1" x14ac:dyDescent="0.25">
      <c r="E8" s="10"/>
      <c r="G8" s="13"/>
      <c r="I8" s="13"/>
      <c r="J8" s="13"/>
      <c r="K8" s="13"/>
      <c r="L8" s="13"/>
    </row>
    <row r="9" spans="1:12" ht="15" customHeight="1" x14ac:dyDescent="0.25">
      <c r="A9" s="19"/>
      <c r="E9" s="10"/>
      <c r="G9" s="13"/>
      <c r="I9" s="13"/>
      <c r="J9" s="13"/>
      <c r="K9" s="13"/>
      <c r="L9" s="13"/>
    </row>
    <row r="10" spans="1:12" ht="15" customHeight="1" x14ac:dyDescent="0.25">
      <c r="A10" s="19"/>
      <c r="E10" s="10"/>
      <c r="G10" s="13"/>
      <c r="H10" s="19"/>
    </row>
    <row r="11" spans="1:12" ht="15" customHeight="1" x14ac:dyDescent="0.25">
      <c r="A11" s="19"/>
      <c r="B11" s="19"/>
      <c r="E11" s="10"/>
      <c r="G11" s="13"/>
      <c r="I11" s="13"/>
      <c r="J11" s="13"/>
      <c r="K11" s="13"/>
      <c r="L11" s="13"/>
    </row>
    <row r="12" spans="1:12" ht="15" customHeight="1" x14ac:dyDescent="0.25">
      <c r="A12" s="20"/>
      <c r="B12" s="19"/>
      <c r="C12" s="19"/>
      <c r="E12" s="10"/>
      <c r="G12" s="13"/>
      <c r="I12" s="13"/>
      <c r="J12" s="13"/>
      <c r="K12" s="13"/>
      <c r="L12" s="13"/>
    </row>
    <row r="13" spans="1:12" ht="15" customHeight="1" x14ac:dyDescent="0.25">
      <c r="A13" s="153" t="s">
        <v>65</v>
      </c>
      <c r="B13" s="7" t="s">
        <v>58</v>
      </c>
      <c r="C13" s="33"/>
      <c r="D13" s="10"/>
      <c r="E13" s="10"/>
      <c r="F13" s="10"/>
      <c r="G13" s="13"/>
    </row>
    <row r="14" spans="1:12" x14ac:dyDescent="0.25">
      <c r="A14" s="153"/>
      <c r="B14" s="7" t="s">
        <v>59</v>
      </c>
      <c r="C14" s="33"/>
    </row>
    <row r="15" spans="1:12" x14ac:dyDescent="0.25">
      <c r="A15" s="153"/>
      <c r="B15" s="60" t="s">
        <v>66</v>
      </c>
      <c r="C15" s="33"/>
    </row>
    <row r="16" spans="1:12" x14ac:dyDescent="0.25">
      <c r="B16" s="7" t="s">
        <v>126</v>
      </c>
      <c r="C16" s="33"/>
    </row>
    <row r="17" spans="1:8" x14ac:dyDescent="0.25">
      <c r="B17" s="7" t="s">
        <v>127</v>
      </c>
      <c r="C17" s="33"/>
    </row>
    <row r="20" spans="1:8" x14ac:dyDescent="0.25">
      <c r="D20" s="13"/>
      <c r="E20" s="13"/>
      <c r="F20" s="13"/>
      <c r="G20" s="13"/>
      <c r="H20" s="13"/>
    </row>
    <row r="21" spans="1:8" x14ac:dyDescent="0.25">
      <c r="D21" s="13"/>
      <c r="E21" s="13"/>
      <c r="F21" s="13"/>
      <c r="G21" s="13"/>
      <c r="H21" s="13"/>
    </row>
    <row r="22" spans="1:8" x14ac:dyDescent="0.25">
      <c r="D22" s="13"/>
      <c r="E22" s="13"/>
      <c r="F22" s="13"/>
      <c r="G22" s="13"/>
      <c r="H22" s="13"/>
    </row>
    <row r="27" spans="1:8" ht="18.75" x14ac:dyDescent="0.3">
      <c r="A27" s="8"/>
    </row>
    <row r="28" spans="1:8" x14ac:dyDescent="0.25">
      <c r="A28" s="11"/>
    </row>
  </sheetData>
  <mergeCells count="2">
    <mergeCell ref="A1:G1"/>
    <mergeCell ref="A13:A15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A1020-787F-4F15-88E0-AABFAF155DB4}">
  <sheetPr codeName="Sheet13"/>
  <dimension ref="A1:L17"/>
  <sheetViews>
    <sheetView workbookViewId="0">
      <selection activeCell="G25" sqref="G25"/>
    </sheetView>
  </sheetViews>
  <sheetFormatPr defaultColWidth="9.140625" defaultRowHeight="15" x14ac:dyDescent="0.25"/>
  <cols>
    <col min="1" max="1" width="30.7109375" style="7" customWidth="1"/>
    <col min="2" max="8" width="14.7109375" style="7" customWidth="1"/>
    <col min="9" max="16384" width="9.140625" style="7"/>
  </cols>
  <sheetData>
    <row r="1" spans="1:12" ht="26.25" x14ac:dyDescent="0.4">
      <c r="A1" s="152" t="s">
        <v>67</v>
      </c>
      <c r="B1" s="152"/>
      <c r="C1" s="152"/>
      <c r="D1" s="152"/>
      <c r="E1" s="152"/>
      <c r="F1" s="152"/>
      <c r="G1" s="152"/>
    </row>
    <row r="2" spans="1:12" ht="35.25" customHeight="1" x14ac:dyDescent="0.25"/>
    <row r="3" spans="1:12" ht="20.100000000000001" customHeight="1" x14ac:dyDescent="0.25">
      <c r="A3" s="18" t="s">
        <v>37</v>
      </c>
      <c r="B3" s="28" t="s">
        <v>38</v>
      </c>
      <c r="C3" s="28" t="s">
        <v>38</v>
      </c>
      <c r="D3" s="28" t="s">
        <v>38</v>
      </c>
    </row>
    <row r="4" spans="1:12" ht="20.100000000000001" customHeight="1" x14ac:dyDescent="0.25">
      <c r="A4" s="18"/>
      <c r="B4" s="28" t="s">
        <v>38</v>
      </c>
      <c r="C4" s="28" t="s">
        <v>38</v>
      </c>
      <c r="D4" s="28" t="s">
        <v>38</v>
      </c>
    </row>
    <row r="5" spans="1:12" ht="20.100000000000001" customHeight="1" x14ac:dyDescent="0.25">
      <c r="A5" s="18"/>
      <c r="B5"/>
    </row>
    <row r="6" spans="1:12" ht="20.100000000000001" customHeight="1" x14ac:dyDescent="0.25">
      <c r="A6" s="18"/>
      <c r="B6" s="10"/>
    </row>
    <row r="7" spans="1:12" ht="20.100000000000001" customHeight="1" x14ac:dyDescent="0.25">
      <c r="A7" s="18"/>
      <c r="B7" s="11"/>
      <c r="C7" s="13" t="s">
        <v>25</v>
      </c>
    </row>
    <row r="8" spans="1:12" ht="20.100000000000001" customHeight="1" x14ac:dyDescent="0.25">
      <c r="B8" s="11" t="s">
        <v>69</v>
      </c>
      <c r="C8" s="11" t="s">
        <v>70</v>
      </c>
      <c r="D8" s="11" t="s">
        <v>71</v>
      </c>
      <c r="E8" s="11" t="s">
        <v>71</v>
      </c>
      <c r="F8" s="11" t="s">
        <v>73</v>
      </c>
      <c r="G8" s="11" t="s">
        <v>72</v>
      </c>
      <c r="H8" s="11" t="s">
        <v>72</v>
      </c>
    </row>
    <row r="9" spans="1:12" ht="15" customHeight="1" x14ac:dyDescent="0.25">
      <c r="A9" s="154" t="s">
        <v>113</v>
      </c>
      <c r="B9" s="27"/>
      <c r="C9" s="35"/>
      <c r="D9" s="35"/>
      <c r="E9" s="35"/>
      <c r="F9" s="35"/>
      <c r="G9" s="35"/>
      <c r="H9" s="35"/>
    </row>
    <row r="10" spans="1:12" ht="15" customHeight="1" x14ac:dyDescent="0.25">
      <c r="A10" s="154"/>
      <c r="B10" s="42"/>
      <c r="G10" s="11"/>
    </row>
    <row r="11" spans="1:12" ht="15" customHeight="1" x14ac:dyDescent="0.25">
      <c r="A11" s="154"/>
    </row>
    <row r="12" spans="1:12" ht="15" customHeight="1" x14ac:dyDescent="0.25">
      <c r="A12" s="20"/>
      <c r="B12" s="20"/>
      <c r="C12" s="20"/>
      <c r="D12" s="19"/>
      <c r="E12" s="20"/>
      <c r="F12" s="20"/>
      <c r="G12" s="20"/>
    </row>
    <row r="13" spans="1:12" ht="15" customHeight="1" x14ac:dyDescent="0.25">
      <c r="B13" s="11" t="s">
        <v>69</v>
      </c>
      <c r="C13" s="12" t="s">
        <v>70</v>
      </c>
      <c r="D13" s="12" t="s">
        <v>71</v>
      </c>
      <c r="E13" s="12" t="s">
        <v>74</v>
      </c>
      <c r="F13" s="11" t="s">
        <v>73</v>
      </c>
      <c r="G13" s="11" t="s">
        <v>72</v>
      </c>
      <c r="H13" s="11" t="s">
        <v>75</v>
      </c>
      <c r="I13" s="18"/>
      <c r="J13" s="11"/>
      <c r="K13" s="13"/>
      <c r="L13" s="13"/>
    </row>
    <row r="14" spans="1:12" ht="15" customHeight="1" x14ac:dyDescent="0.25">
      <c r="A14" s="154" t="s">
        <v>68</v>
      </c>
      <c r="B14" s="27"/>
      <c r="C14" s="35"/>
      <c r="D14" s="35"/>
      <c r="E14" s="35"/>
      <c r="F14" s="35"/>
      <c r="G14" s="35"/>
      <c r="H14" s="35"/>
      <c r="I14" s="18"/>
      <c r="J14" s="11"/>
      <c r="K14" s="13"/>
      <c r="L14" s="13"/>
    </row>
    <row r="15" spans="1:12" ht="15" customHeight="1" x14ac:dyDescent="0.25">
      <c r="A15" s="154"/>
      <c r="B15" s="42"/>
      <c r="G15" s="13"/>
      <c r="I15" s="18"/>
      <c r="J15" s="11"/>
      <c r="K15" s="13"/>
      <c r="L15" s="13"/>
    </row>
    <row r="16" spans="1:12" ht="15" customHeight="1" x14ac:dyDescent="0.25">
      <c r="A16" s="154"/>
      <c r="G16" s="13"/>
      <c r="I16" s="18"/>
      <c r="J16" s="11"/>
      <c r="K16" s="13"/>
      <c r="L16" s="13"/>
    </row>
    <row r="17" spans="1:7" ht="15" customHeight="1" x14ac:dyDescent="0.25">
      <c r="A17" s="20"/>
      <c r="B17" s="20"/>
      <c r="C17" s="21"/>
      <c r="D17" s="21"/>
      <c r="E17" s="21"/>
      <c r="F17" s="21"/>
      <c r="G17" s="21"/>
    </row>
  </sheetData>
  <mergeCells count="3">
    <mergeCell ref="A1:G1"/>
    <mergeCell ref="A9:A11"/>
    <mergeCell ref="A14:A1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3BC9F-2DFB-46F9-8194-32771178D437}">
  <sheetPr codeName="Sheet14"/>
  <dimension ref="A1:U26"/>
  <sheetViews>
    <sheetView zoomScaleNormal="100" workbookViewId="0">
      <selection activeCell="A17" sqref="A17:H20"/>
    </sheetView>
  </sheetViews>
  <sheetFormatPr defaultColWidth="9.140625" defaultRowHeight="15" x14ac:dyDescent="0.25"/>
  <cols>
    <col min="1" max="1" width="37.42578125" style="7" customWidth="1"/>
    <col min="2" max="2" width="15.7109375" style="7" customWidth="1"/>
    <col min="3" max="3" width="21.85546875" style="7" customWidth="1"/>
    <col min="4" max="4" width="18.7109375" style="7" customWidth="1"/>
    <col min="5" max="5" width="9.140625" style="7"/>
    <col min="6" max="6" width="13.42578125" style="7" customWidth="1"/>
    <col min="7" max="7" width="12.42578125" style="7" customWidth="1"/>
    <col min="8" max="9" width="9.140625" style="7"/>
    <col min="10" max="12" width="22.140625" style="7" customWidth="1"/>
    <col min="13" max="16384" width="9.140625" style="7"/>
  </cols>
  <sheetData>
    <row r="1" spans="1:21" ht="26.25" x14ac:dyDescent="0.4">
      <c r="A1" s="152" t="s">
        <v>96</v>
      </c>
      <c r="B1" s="152"/>
      <c r="C1" s="152"/>
      <c r="D1" s="152"/>
      <c r="E1" s="152"/>
      <c r="F1" s="152"/>
      <c r="G1" s="152"/>
    </row>
    <row r="2" spans="1:21" ht="35.25" customHeight="1" x14ac:dyDescent="0.25">
      <c r="M2"/>
      <c r="N2"/>
      <c r="O2"/>
      <c r="P2"/>
      <c r="Q2"/>
      <c r="R2"/>
      <c r="S2"/>
      <c r="T2"/>
      <c r="U2"/>
    </row>
    <row r="3" spans="1:21" ht="20.100000000000001" customHeight="1" x14ac:dyDescent="0.25">
      <c r="A3" s="18" t="s">
        <v>37</v>
      </c>
      <c r="B3" s="28" t="s">
        <v>38</v>
      </c>
      <c r="M3"/>
      <c r="N3"/>
      <c r="O3"/>
      <c r="P3"/>
      <c r="Q3"/>
      <c r="R3"/>
      <c r="S3"/>
      <c r="T3"/>
      <c r="U3"/>
    </row>
    <row r="4" spans="1:21" ht="20.100000000000001" customHeight="1" x14ac:dyDescent="0.25">
      <c r="A4" s="18"/>
      <c r="B4" s="28" t="s">
        <v>38</v>
      </c>
      <c r="K4"/>
      <c r="M4"/>
      <c r="N4"/>
      <c r="O4"/>
      <c r="P4"/>
      <c r="Q4"/>
      <c r="R4"/>
      <c r="S4"/>
      <c r="T4"/>
      <c r="U4"/>
    </row>
    <row r="5" spans="1:21" ht="20.100000000000001" customHeight="1" x14ac:dyDescent="0.25">
      <c r="A5" s="18"/>
      <c r="B5" s="28" t="s">
        <v>38</v>
      </c>
      <c r="M5"/>
      <c r="N5"/>
      <c r="O5"/>
      <c r="P5"/>
      <c r="Q5"/>
      <c r="R5"/>
      <c r="S5"/>
      <c r="T5"/>
      <c r="U5"/>
    </row>
    <row r="6" spans="1:21" ht="20.100000000000001" customHeight="1" x14ac:dyDescent="0.25">
      <c r="A6" s="18"/>
      <c r="B6" s="10"/>
      <c r="M6"/>
      <c r="N6"/>
      <c r="O6"/>
      <c r="P6"/>
      <c r="Q6"/>
      <c r="R6"/>
      <c r="S6"/>
      <c r="T6"/>
      <c r="U6"/>
    </row>
    <row r="7" spans="1:21" ht="20.100000000000001" customHeight="1" x14ac:dyDescent="0.25">
      <c r="M7"/>
      <c r="N7"/>
      <c r="O7"/>
      <c r="P7"/>
      <c r="Q7"/>
      <c r="R7"/>
      <c r="S7"/>
      <c r="T7"/>
      <c r="U7"/>
    </row>
    <row r="8" spans="1:21" ht="47.25" x14ac:dyDescent="0.25">
      <c r="A8" s="43" t="s">
        <v>60</v>
      </c>
      <c r="B8" s="43" t="s">
        <v>61</v>
      </c>
      <c r="C8" s="43" t="s">
        <v>62</v>
      </c>
      <c r="D8" s="43" t="s">
        <v>63</v>
      </c>
      <c r="F8" s="43" t="s">
        <v>106</v>
      </c>
      <c r="G8" s="43" t="s">
        <v>114</v>
      </c>
      <c r="H8" s="43" t="s">
        <v>93</v>
      </c>
      <c r="J8" s="88" t="s">
        <v>159</v>
      </c>
      <c r="K8" s="43" t="s">
        <v>160</v>
      </c>
      <c r="L8" s="43" t="s">
        <v>161</v>
      </c>
      <c r="M8"/>
      <c r="N8"/>
      <c r="O8"/>
      <c r="P8"/>
      <c r="Q8"/>
      <c r="R8"/>
      <c r="S8"/>
      <c r="T8"/>
      <c r="U8"/>
    </row>
    <row r="9" spans="1:21" ht="15.75" x14ac:dyDescent="0.25">
      <c r="A9" s="6" t="s">
        <v>76</v>
      </c>
      <c r="B9" s="34"/>
      <c r="C9" s="34"/>
      <c r="D9" s="34"/>
      <c r="F9" s="34">
        <v>6</v>
      </c>
      <c r="G9" s="34">
        <v>2.5</v>
      </c>
      <c r="H9" s="34" t="s">
        <v>94</v>
      </c>
      <c r="J9" s="155" t="str">
        <f>IF(OR(B9="",B10=""),"",IF(AND(ABS(B9-F9)&lt;=G9,ABS(B10-F10)&lt;=G10),"PASS","FAIL"))</f>
        <v/>
      </c>
      <c r="K9" s="157" t="str">
        <f>IF(OR(C9="",C10=""),"",IF(AND(ABS(C9-F9)&lt;=G9,ABS(C10-F10)&lt;=G10),"PASS","FAIL"))</f>
        <v/>
      </c>
      <c r="L9" s="157" t="str">
        <f>IF(OR(D9="",D10=""),"",IF(AND(ABS(D9-F9)&lt;=G9,ABS(D10-F10)&lt;=G10),"PASS","FAIL"))</f>
        <v/>
      </c>
    </row>
    <row r="10" spans="1:21" ht="15.75" x14ac:dyDescent="0.25">
      <c r="A10" s="6" t="s">
        <v>77</v>
      </c>
      <c r="B10" s="34"/>
      <c r="C10" s="34"/>
      <c r="D10" s="34"/>
      <c r="F10" s="34">
        <v>0</v>
      </c>
      <c r="G10" s="34">
        <v>0.5</v>
      </c>
      <c r="H10" s="34" t="s">
        <v>94</v>
      </c>
      <c r="J10" s="155"/>
      <c r="K10" s="161"/>
      <c r="L10" s="158"/>
    </row>
    <row r="11" spans="1:21" ht="15.75" x14ac:dyDescent="0.25">
      <c r="A11" s="6" t="s">
        <v>78</v>
      </c>
      <c r="B11" s="34"/>
      <c r="C11" s="34"/>
      <c r="D11" s="34"/>
      <c r="F11" s="34">
        <v>6</v>
      </c>
      <c r="G11" s="34">
        <v>2.5</v>
      </c>
      <c r="H11" s="34" t="s">
        <v>94</v>
      </c>
      <c r="J11" s="157" t="str">
        <f>IF(OR(B11="",B12=""),"",IF(AND(ABS(B11-F11)&lt;=G11,ABS(B12-F12)&lt;=G12),"PASS","FAIL"))</f>
        <v/>
      </c>
      <c r="K11" s="157" t="str">
        <f>IF(OR(C11="",C12=""),"",IF(AND(ABS(C11-F11)&lt;=G11,ABS(C12-F12)&lt;=G12),"PASS","FAIL"))</f>
        <v/>
      </c>
      <c r="L11" s="161" t="str">
        <f>IF(OR(D11="",D12=""),"",IF(AND(ABS(D11-F11)&lt;=G11,ABS(D12-F12)&lt;=G12),"PASS","FAIL"))</f>
        <v/>
      </c>
    </row>
    <row r="12" spans="1:21" ht="15.75" x14ac:dyDescent="0.25">
      <c r="A12" s="6" t="s">
        <v>79</v>
      </c>
      <c r="B12" s="34"/>
      <c r="C12" s="34"/>
      <c r="D12" s="34"/>
      <c r="F12" s="34">
        <v>0</v>
      </c>
      <c r="G12" s="34">
        <v>0.5</v>
      </c>
      <c r="H12" s="34" t="s">
        <v>94</v>
      </c>
      <c r="J12" s="161"/>
      <c r="K12" s="158"/>
      <c r="L12" s="158"/>
    </row>
    <row r="13" spans="1:21" ht="15.75" x14ac:dyDescent="0.25">
      <c r="A13" s="6" t="s">
        <v>81</v>
      </c>
      <c r="B13" s="34"/>
      <c r="C13" s="34"/>
      <c r="D13" s="34"/>
      <c r="F13" s="34">
        <v>165</v>
      </c>
      <c r="G13" s="34">
        <v>25</v>
      </c>
      <c r="H13" s="34" t="s">
        <v>94</v>
      </c>
      <c r="J13" s="155" t="str">
        <f t="shared" ref="J13" si="0">IF(OR(B13="",B14=""),"",IF(AND(ABS(B13-F13)&lt;=G13,ABS(B14-F14)&lt;=G14),"PASS","FAIL"))</f>
        <v/>
      </c>
      <c r="K13" s="155" t="str">
        <f t="shared" ref="K13" si="1">IF(OR(C13="",C14=""),"",IF(AND(ABS(C13-F13)&lt;=G13,ABS(C14-F14)&lt;=G14),"PASS","FAIL"))</f>
        <v/>
      </c>
      <c r="L13" s="155" t="str">
        <f t="shared" ref="L13" si="2">IF(OR(D13="",D14=""),"",IF(AND(ABS(D13-F13)&lt;=G13,ABS(D14-F14)&lt;=G14),"PASS","FAIL"))</f>
        <v/>
      </c>
    </row>
    <row r="14" spans="1:21" ht="15.75" x14ac:dyDescent="0.25">
      <c r="A14" s="6" t="s">
        <v>82</v>
      </c>
      <c r="B14" s="34"/>
      <c r="C14" s="34"/>
      <c r="D14" s="34"/>
      <c r="F14" s="34">
        <v>0</v>
      </c>
      <c r="G14" s="34">
        <v>0.5</v>
      </c>
      <c r="H14" s="34" t="s">
        <v>94</v>
      </c>
      <c r="J14" s="155"/>
      <c r="K14" s="155"/>
      <c r="L14" s="155"/>
    </row>
    <row r="15" spans="1:21" ht="15.75" x14ac:dyDescent="0.25">
      <c r="A15" s="6" t="s">
        <v>83</v>
      </c>
      <c r="B15" s="34"/>
      <c r="C15" s="34"/>
      <c r="D15" s="34"/>
      <c r="F15" s="34">
        <v>165</v>
      </c>
      <c r="G15" s="34">
        <v>25</v>
      </c>
      <c r="H15" s="34" t="s">
        <v>94</v>
      </c>
      <c r="J15" s="155" t="str">
        <f t="shared" ref="J15" si="3">IF(OR(B15="",B16=""),"",IF(AND(ABS(B15-F15)&lt;=G15,ABS(B16-F16)&lt;=G16),"PASS","FAIL"))</f>
        <v/>
      </c>
      <c r="K15" s="155" t="str">
        <f t="shared" ref="K15" si="4">IF(OR(C15="",C16=""),"",IF(AND(ABS(C15-F15)&lt;=G15,ABS(C16-F16)&lt;=G16),"PASS","FAIL"))</f>
        <v/>
      </c>
      <c r="L15" s="155" t="str">
        <f t="shared" ref="L15" si="5">IF(OR(D15="",D16=""),"",IF(AND(ABS(D15-F15)&lt;=G15,ABS(D16-F16)&lt;=G16),"PASS","FAIL"))</f>
        <v/>
      </c>
    </row>
    <row r="16" spans="1:21" ht="15.75" x14ac:dyDescent="0.25">
      <c r="A16" s="6" t="s">
        <v>84</v>
      </c>
      <c r="B16" s="34"/>
      <c r="C16" s="34"/>
      <c r="D16" s="34"/>
      <c r="F16" s="34">
        <v>0</v>
      </c>
      <c r="G16" s="34">
        <v>0.5</v>
      </c>
      <c r="H16" s="34" t="s">
        <v>94</v>
      </c>
      <c r="J16" s="155"/>
      <c r="K16" s="155"/>
      <c r="L16" s="155"/>
    </row>
    <row r="17" spans="1:12" ht="15.75" x14ac:dyDescent="0.25">
      <c r="A17" s="6" t="s">
        <v>91</v>
      </c>
      <c r="B17" s="34"/>
      <c r="C17" s="34"/>
      <c r="D17" s="34"/>
      <c r="F17" s="34">
        <v>5</v>
      </c>
      <c r="G17" s="34">
        <v>0.5</v>
      </c>
      <c r="H17" s="34" t="s">
        <v>94</v>
      </c>
      <c r="J17" s="157" t="str">
        <f>IF(OR(B17="",B18="",B19="",B20=""),"",IF(AND(IF(AND(ABS(B17-F17)&lt;=G17,ABS(B18-F18)&lt;=G18),1,0),IF(AND(B19&gt;F19,ABS(B20-F20)&lt;=G20),1,0)),"PASS","FAIL"))</f>
        <v/>
      </c>
      <c r="K17" s="157" t="str">
        <f>IF(OR(C17="",C18="",C19="",C20=""),"",IF(AND(IF(AND(ABS(C17-F17)&lt;=G17,ABS(C18-F18)&lt;=G18),1,0),IF(AND(C19&gt;F19,ABS(C20-F20)&lt;=G20),1,0)),"PASS","FAIL"))</f>
        <v/>
      </c>
      <c r="L17" s="157" t="str">
        <f>IF(OR(D17="",D18="",D19="",D20=""),"",IF(AND(IF(AND(ABS(D17-F17)&lt;=G17,ABS(D18-F18)&lt;=G18),1,0),IF(AND(D19&gt;F19,ABS(D20-F20)&lt;=G20),1,0)),"PASS","FAIL"))</f>
        <v/>
      </c>
    </row>
    <row r="18" spans="1:12" ht="15.75" x14ac:dyDescent="0.25">
      <c r="A18" s="6" t="s">
        <v>92</v>
      </c>
      <c r="B18" s="34"/>
      <c r="C18" s="34"/>
      <c r="D18" s="34"/>
      <c r="F18" s="34">
        <v>0</v>
      </c>
      <c r="G18" s="34">
        <v>0.5</v>
      </c>
      <c r="H18" s="34" t="s">
        <v>94</v>
      </c>
      <c r="J18" s="161"/>
      <c r="K18" s="161"/>
      <c r="L18" s="161"/>
    </row>
    <row r="19" spans="1:12" ht="15.75" x14ac:dyDescent="0.25">
      <c r="A19" s="6" t="s">
        <v>89</v>
      </c>
      <c r="B19" s="34"/>
      <c r="C19" s="34"/>
      <c r="D19" s="34"/>
      <c r="F19" s="34">
        <v>8</v>
      </c>
      <c r="G19" s="34" t="s">
        <v>120</v>
      </c>
      <c r="H19" s="34" t="s">
        <v>95</v>
      </c>
      <c r="J19" s="161"/>
      <c r="K19" s="161"/>
      <c r="L19" s="161"/>
    </row>
    <row r="20" spans="1:12" ht="15.75" x14ac:dyDescent="0.25">
      <c r="A20" s="6" t="s">
        <v>90</v>
      </c>
      <c r="B20" s="34"/>
      <c r="C20" s="34"/>
      <c r="D20" s="34"/>
      <c r="F20" s="34">
        <v>4.8</v>
      </c>
      <c r="G20" s="34">
        <v>0.1000000001</v>
      </c>
      <c r="H20" s="34" t="s">
        <v>95</v>
      </c>
      <c r="J20" s="158"/>
      <c r="K20" s="158"/>
      <c r="L20" s="158"/>
    </row>
    <row r="21" spans="1:12" ht="15.75" x14ac:dyDescent="0.25">
      <c r="A21" s="6" t="s">
        <v>85</v>
      </c>
      <c r="B21" s="34"/>
      <c r="C21" s="44"/>
      <c r="D21" s="44"/>
      <c r="E21" s="13"/>
      <c r="F21" s="34" t="s">
        <v>39</v>
      </c>
      <c r="G21" s="34" t="s">
        <v>39</v>
      </c>
      <c r="H21" s="34" t="s">
        <v>39</v>
      </c>
      <c r="J21" s="155" t="str">
        <f>IF(OR(B21="",B22=""),"",IF(AND(B21="PASS",B22="PASS"),"PASS","FAIL"))</f>
        <v/>
      </c>
      <c r="K21" s="156"/>
      <c r="L21" s="156"/>
    </row>
    <row r="22" spans="1:12" ht="15.75" x14ac:dyDescent="0.25">
      <c r="A22" s="6" t="s">
        <v>86</v>
      </c>
      <c r="B22" s="34"/>
      <c r="C22" s="44"/>
      <c r="D22" s="44"/>
      <c r="E22" s="13"/>
      <c r="F22" s="34" t="s">
        <v>39</v>
      </c>
      <c r="G22" s="34" t="s">
        <v>39</v>
      </c>
      <c r="H22" s="34" t="s">
        <v>39</v>
      </c>
      <c r="J22" s="155"/>
      <c r="K22" s="156"/>
      <c r="L22" s="156"/>
    </row>
    <row r="23" spans="1:12" ht="15.75" x14ac:dyDescent="0.25">
      <c r="A23" s="6" t="s">
        <v>87</v>
      </c>
      <c r="B23" s="34"/>
      <c r="C23" s="44"/>
      <c r="D23" s="44"/>
      <c r="E23" s="13"/>
      <c r="F23" s="34" t="s">
        <v>39</v>
      </c>
      <c r="G23" s="34" t="s">
        <v>39</v>
      </c>
      <c r="H23" s="34" t="s">
        <v>39</v>
      </c>
      <c r="J23" s="155" t="str">
        <f>IF(OR(B23="",B24=""),"",IF(AND(B23="PASS",B24="PASS"),"PASS","FAIL"))</f>
        <v/>
      </c>
      <c r="K23" s="156"/>
      <c r="L23" s="156"/>
    </row>
    <row r="24" spans="1:12" ht="15.75" x14ac:dyDescent="0.25">
      <c r="A24" s="6" t="s">
        <v>88</v>
      </c>
      <c r="B24" s="34"/>
      <c r="C24" s="44"/>
      <c r="D24" s="44"/>
      <c r="E24" s="13"/>
      <c r="F24" s="34" t="s">
        <v>39</v>
      </c>
      <c r="G24" s="34" t="s">
        <v>39</v>
      </c>
      <c r="H24" s="34" t="s">
        <v>39</v>
      </c>
      <c r="J24" s="155"/>
      <c r="K24" s="156"/>
      <c r="L24" s="156"/>
    </row>
    <row r="25" spans="1:12" ht="15.75" x14ac:dyDescent="0.25">
      <c r="A25" s="6" t="s">
        <v>158</v>
      </c>
      <c r="B25" s="34"/>
      <c r="C25" s="44"/>
      <c r="D25" s="44"/>
      <c r="E25" s="13"/>
      <c r="F25" s="34">
        <v>20</v>
      </c>
      <c r="G25" s="34" t="s">
        <v>120</v>
      </c>
      <c r="H25" s="34" t="s">
        <v>94</v>
      </c>
      <c r="J25" s="157" t="str">
        <f>IF(OR(B25="",B26=""),"",IF(AND(B25&gt;F25,ABS(B26-F26)&lt;=G26),"PASS","FAIL"))</f>
        <v/>
      </c>
      <c r="K25" s="159"/>
      <c r="L25" s="159"/>
    </row>
    <row r="26" spans="1:12" ht="15.75" x14ac:dyDescent="0.25">
      <c r="A26" s="6" t="s">
        <v>157</v>
      </c>
      <c r="B26" s="34"/>
      <c r="C26" s="44"/>
      <c r="D26" s="44"/>
      <c r="E26" s="13"/>
      <c r="F26" s="34">
        <v>0</v>
      </c>
      <c r="G26" s="34">
        <v>0.5</v>
      </c>
      <c r="H26" s="34" t="s">
        <v>94</v>
      </c>
      <c r="J26" s="158"/>
      <c r="K26" s="160"/>
      <c r="L26" s="160"/>
    </row>
  </sheetData>
  <mergeCells count="25">
    <mergeCell ref="A1:G1"/>
    <mergeCell ref="J9:J10"/>
    <mergeCell ref="K9:K10"/>
    <mergeCell ref="L9:L10"/>
    <mergeCell ref="J11:J12"/>
    <mergeCell ref="K11:K12"/>
    <mergeCell ref="L11:L12"/>
    <mergeCell ref="J13:J14"/>
    <mergeCell ref="K13:K14"/>
    <mergeCell ref="L13:L14"/>
    <mergeCell ref="J15:J16"/>
    <mergeCell ref="K15:K16"/>
    <mergeCell ref="L15:L16"/>
    <mergeCell ref="J17:J20"/>
    <mergeCell ref="K17:K20"/>
    <mergeCell ref="L17:L20"/>
    <mergeCell ref="J21:J22"/>
    <mergeCell ref="K21:K22"/>
    <mergeCell ref="L21:L22"/>
    <mergeCell ref="J23:J24"/>
    <mergeCell ref="K23:K24"/>
    <mergeCell ref="L23:L24"/>
    <mergeCell ref="J25:J26"/>
    <mergeCell ref="K25:K26"/>
    <mergeCell ref="L25:L2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E73-0CBF-4D53-9F07-EABD1BEB2674}">
  <sheetPr codeName="Sheet15"/>
  <dimension ref="A1:R54"/>
  <sheetViews>
    <sheetView topLeftCell="A31" zoomScale="85" zoomScaleNormal="85" workbookViewId="0">
      <selection activeCell="A39" sqref="A39"/>
    </sheetView>
  </sheetViews>
  <sheetFormatPr defaultColWidth="9.140625" defaultRowHeight="15" x14ac:dyDescent="0.25"/>
  <cols>
    <col min="1" max="1" width="60.5703125" style="7" customWidth="1"/>
    <col min="2" max="2" width="15.7109375" style="7" customWidth="1"/>
    <col min="3" max="3" width="18.5703125" style="7" customWidth="1"/>
    <col min="4" max="4" width="17.140625" style="7" customWidth="1"/>
    <col min="5" max="5" width="9.140625" style="7"/>
    <col min="6" max="6" width="14.28515625" style="7" customWidth="1"/>
    <col min="7" max="7" width="11.7109375" style="7" customWidth="1"/>
    <col min="8" max="8" width="14" style="7" customWidth="1"/>
    <col min="9" max="9" width="11.28515625" style="7" customWidth="1"/>
    <col min="10" max="11" width="9.140625" style="7"/>
    <col min="12" max="12" width="18.28515625" style="7" customWidth="1"/>
    <col min="13" max="13" width="25.7109375" style="7" customWidth="1"/>
    <col min="14" max="14" width="19.7109375" style="7" customWidth="1"/>
    <col min="15" max="16384" width="9.140625" style="7"/>
  </cols>
  <sheetData>
    <row r="1" spans="1:18" ht="26.25" x14ac:dyDescent="0.4">
      <c r="A1" s="152" t="s">
        <v>97</v>
      </c>
      <c r="B1" s="152"/>
      <c r="C1" s="152"/>
      <c r="D1" s="152"/>
      <c r="E1" s="152"/>
      <c r="F1" s="152"/>
      <c r="G1" s="152"/>
      <c r="H1" s="152"/>
      <c r="I1" s="152"/>
    </row>
    <row r="2" spans="1:18" ht="35.25" customHeight="1" x14ac:dyDescent="0.25"/>
    <row r="3" spans="1:18" ht="20.100000000000001" customHeight="1" x14ac:dyDescent="0.25">
      <c r="A3" s="18" t="s">
        <v>37</v>
      </c>
      <c r="B3" s="54" t="s">
        <v>38</v>
      </c>
    </row>
    <row r="4" spans="1:18" ht="20.100000000000001" customHeight="1" x14ac:dyDescent="0.25">
      <c r="A4" s="18"/>
      <c r="B4" s="54" t="s">
        <v>38</v>
      </c>
    </row>
    <row r="5" spans="1:18" ht="20.100000000000001" customHeight="1" x14ac:dyDescent="0.25">
      <c r="A5" s="18"/>
      <c r="B5" s="54" t="s">
        <v>38</v>
      </c>
    </row>
    <row r="6" spans="1:18" ht="20.100000000000001" customHeight="1" x14ac:dyDescent="0.25"/>
    <row r="7" spans="1:18" ht="31.5" customHeight="1" x14ac:dyDescent="0.25">
      <c r="A7" s="43" t="s">
        <v>98</v>
      </c>
      <c r="B7" s="43" t="s">
        <v>61</v>
      </c>
      <c r="C7" s="43" t="s">
        <v>62</v>
      </c>
      <c r="D7" s="43" t="s">
        <v>63</v>
      </c>
      <c r="F7" s="43" t="s">
        <v>105</v>
      </c>
      <c r="G7" s="43" t="s">
        <v>107</v>
      </c>
      <c r="H7" s="43" t="s">
        <v>104</v>
      </c>
      <c r="I7" s="43" t="s">
        <v>108</v>
      </c>
      <c r="J7" s="43" t="s">
        <v>93</v>
      </c>
      <c r="L7" s="43" t="s">
        <v>115</v>
      </c>
      <c r="M7" s="43" t="s">
        <v>116</v>
      </c>
      <c r="N7" s="43" t="s">
        <v>117</v>
      </c>
    </row>
    <row r="8" spans="1:18" ht="28.5" x14ac:dyDescent="0.25">
      <c r="A8" s="70" t="s">
        <v>149</v>
      </c>
      <c r="B8" s="47"/>
      <c r="C8" s="47"/>
      <c r="D8" s="47"/>
      <c r="F8" s="47">
        <v>295</v>
      </c>
      <c r="G8" s="47">
        <v>5</v>
      </c>
      <c r="H8" s="47">
        <v>18</v>
      </c>
      <c r="I8" s="35" t="s">
        <v>162</v>
      </c>
      <c r="J8" s="45" t="s">
        <v>99</v>
      </c>
      <c r="L8" s="59" t="str">
        <f xml:space="preserve"> IF('Sensors (2)'!B8="", "", IF(ABS('Sensors (2)'!F8 - 'Sensors (2)'!$B8)&lt;='Sensors (2)'!$G8,"PASS","FAIL"))</f>
        <v/>
      </c>
      <c r="M8" s="59" t="str">
        <f xml:space="preserve"> IF('Sensors (2)'!C8="", "", IF('Sensors (2)'!$C8&lt;='Sensors (2)'!$H8,"PASS","FAIL"))</f>
        <v/>
      </c>
      <c r="N8" s="59" t="str">
        <f xml:space="preserve"> IF('Sensors (2)'!D8="", "", IF('Sensors (2)'!$D8&lt;='Sensors (2)'!$H8,"PASS","FAIL"))</f>
        <v/>
      </c>
    </row>
    <row r="9" spans="1:18" ht="28.5" x14ac:dyDescent="0.25">
      <c r="A9" s="70" t="s">
        <v>129</v>
      </c>
      <c r="B9" s="47"/>
      <c r="C9" s="47"/>
      <c r="D9" s="47"/>
      <c r="F9" s="47">
        <v>25</v>
      </c>
      <c r="G9" s="47">
        <v>5</v>
      </c>
      <c r="H9" s="47">
        <v>32.5</v>
      </c>
      <c r="I9" s="35">
        <v>12.5</v>
      </c>
      <c r="J9" s="45" t="s">
        <v>100</v>
      </c>
      <c r="L9" s="59" t="str">
        <f xml:space="preserve"> IF('Sensors (2)'!B9="", "", IF(ABS('Sensors (2)'!F9 - 'Sensors (2)'!$B9)&lt;='Sensors (2)'!$G9,"PASS","FAIL"))</f>
        <v/>
      </c>
      <c r="M9" s="59" t="str">
        <f xml:space="preserve"> IF('Sensors (2)'!C9="", "", IF(ABS('Sensors (2)'!H9 - 'Sensors (2)'!$C9)&lt;='Sensors (2)'!$I9,"PASS","FAIL"))</f>
        <v/>
      </c>
      <c r="N9" s="59" t="str">
        <f xml:space="preserve"> IF('Sensors (2)'!D9="", "", IF(ABS('Sensors (2)'!H9 - 'Sensors (2)'!$D9)&lt;='Sensors (2)'!$I9,"PASS","FAIL"))</f>
        <v/>
      </c>
    </row>
    <row r="10" spans="1:18" ht="28.5" x14ac:dyDescent="0.25">
      <c r="A10" s="70" t="s">
        <v>130</v>
      </c>
      <c r="B10" s="47"/>
      <c r="C10" s="47"/>
      <c r="D10" s="47"/>
      <c r="F10" s="47">
        <v>25</v>
      </c>
      <c r="G10" s="47">
        <v>5</v>
      </c>
      <c r="H10" s="47">
        <v>23</v>
      </c>
      <c r="I10" s="35">
        <v>0.5</v>
      </c>
      <c r="J10" s="45" t="s">
        <v>100</v>
      </c>
      <c r="L10" s="59" t="str">
        <f xml:space="preserve"> IF('Sensors (2)'!B10="", "", IF(ABS('Sensors (2)'!F10 - 'Sensors (2)'!$B10)&lt;='Sensors (2)'!$G10,"PASS","FAIL"))</f>
        <v/>
      </c>
      <c r="M10" s="59" t="str">
        <f xml:space="preserve"> IF('Sensors (2)'!C10="", "", IF(ABS('Sensors (2)'!H10 - 'Sensors (2)'!$C10)&lt;='Sensors (2)'!$I10,"PASS","FAIL"))</f>
        <v/>
      </c>
      <c r="N10" s="59" t="str">
        <f xml:space="preserve"> IF('Sensors (2)'!D10="", "", IF(ABS('Sensors (2)'!H10 - 'Sensors (2)'!$D10)&lt;='Sensors (2)'!$I10,"PASS","FAIL"))</f>
        <v/>
      </c>
    </row>
    <row r="11" spans="1:18" ht="47.25" x14ac:dyDescent="0.25">
      <c r="A11" s="70" t="s">
        <v>187</v>
      </c>
      <c r="B11" s="47"/>
      <c r="C11" s="47"/>
      <c r="D11" s="47"/>
      <c r="F11" s="47">
        <v>75</v>
      </c>
      <c r="G11" s="47">
        <v>45</v>
      </c>
      <c r="H11" s="47">
        <v>75</v>
      </c>
      <c r="I11" s="35">
        <v>45</v>
      </c>
      <c r="J11" s="45" t="s">
        <v>94</v>
      </c>
      <c r="L11" s="59" t="str">
        <f xml:space="preserve"> IF('Sensors (2)'!B11="", "",IF(B11&lt;=2,"PASS","FAIL"))</f>
        <v/>
      </c>
      <c r="M11" s="59" t="str">
        <f>IF('Sensors (2)'!C11="","",IF(M10="PASS",IF(ABS('Sensors (2)'!H11-'Sensors (2)'!$C11)&lt;='Sensors (2)'!$I11,"PASS","FAIL"),"FAIL"))</f>
        <v/>
      </c>
      <c r="N11" s="59" t="str">
        <f>IF('Sensors (2)'!D11="","",IF(N10="PASS",IF(ABS('Sensors (2)'!H11-'Sensors (2)'!$D11)&lt;='Sensors (2)'!$I11,"PASS","FAIL"),"FAIL"))</f>
        <v/>
      </c>
    </row>
    <row r="12" spans="1:18" ht="28.5" x14ac:dyDescent="0.25">
      <c r="A12" s="70" t="s">
        <v>131</v>
      </c>
      <c r="B12" s="47"/>
      <c r="C12" s="47"/>
      <c r="D12" s="47"/>
      <c r="F12" s="47">
        <v>295</v>
      </c>
      <c r="G12" s="47">
        <v>5</v>
      </c>
      <c r="H12" s="47">
        <v>60</v>
      </c>
      <c r="I12" s="35" t="s">
        <v>162</v>
      </c>
      <c r="J12" s="45" t="s">
        <v>99</v>
      </c>
      <c r="L12" s="59" t="str">
        <f xml:space="preserve"> IF('Sensors (2)'!B12="", "", IF(ABS('Sensors (2)'!F12 - 'Sensors (2)'!$B12)&lt;='Sensors (2)'!$G12,"PASS","FAIL"))</f>
        <v/>
      </c>
      <c r="M12" s="59" t="str">
        <f xml:space="preserve"> IF('Sensors (2)'!C12="", "", IF('Sensors (2)'!$C12&lt;='Sensors (2)'!$H12,"PASS","FAIL"))</f>
        <v/>
      </c>
      <c r="N12" s="59" t="str">
        <f xml:space="preserve"> IF('Sensors (2)'!D12="", "", IF('Sensors (2)'!$D12&lt;='Sensors (2)'!$H12,"PASS","FAIL"))</f>
        <v/>
      </c>
    </row>
    <row r="13" spans="1:18" ht="28.5" x14ac:dyDescent="0.25">
      <c r="A13" s="70" t="s">
        <v>132</v>
      </c>
      <c r="B13" s="47"/>
      <c r="C13" s="47"/>
      <c r="D13" s="47"/>
      <c r="F13" s="47">
        <v>295</v>
      </c>
      <c r="G13" s="47">
        <v>5</v>
      </c>
      <c r="H13" s="47">
        <v>80</v>
      </c>
      <c r="I13" s="35" t="s">
        <v>162</v>
      </c>
      <c r="J13" s="45" t="s">
        <v>99</v>
      </c>
      <c r="L13" s="59" t="str">
        <f xml:space="preserve"> IF('Sensors (2)'!B13="", "", IF(ABS('Sensors (2)'!F13 - 'Sensors (2)'!$B13)&lt;='Sensors (2)'!$G13,"PASS","FAIL"))</f>
        <v/>
      </c>
      <c r="M13" s="59" t="str">
        <f xml:space="preserve"> IF('Sensors (2)'!C13="", "", IF('Sensors (2)'!$C13&lt;='Sensors (2)'!$H13,"PASS","FAIL"))</f>
        <v/>
      </c>
      <c r="N13" s="59" t="str">
        <f xml:space="preserve"> IF('Sensors (2)'!D13="", "", IF('Sensors (2)'!$D13&lt;='Sensors (2)'!$H13,"PASS","FAIL"))</f>
        <v/>
      </c>
    </row>
    <row r="14" spans="1:18" ht="28.5" x14ac:dyDescent="0.25">
      <c r="A14" s="70" t="s">
        <v>151</v>
      </c>
      <c r="B14" s="47"/>
      <c r="C14" s="47"/>
      <c r="D14" s="47"/>
      <c r="F14" s="47">
        <v>35</v>
      </c>
      <c r="G14" s="47">
        <v>15</v>
      </c>
      <c r="H14" s="47">
        <v>35</v>
      </c>
      <c r="I14" s="35">
        <v>15</v>
      </c>
      <c r="J14" s="45" t="s">
        <v>100</v>
      </c>
      <c r="L14" s="59" t="str">
        <f xml:space="preserve"> IF('Sensors (2)'!B14="", "", IF(ABS('Sensors (2)'!F14 - 'Sensors (2)'!$B14)&lt;='Sensors (2)'!$G14,"PASS","FAIL"))</f>
        <v/>
      </c>
      <c r="M14" s="59" t="str">
        <f xml:space="preserve"> IF('Sensors (2)'!C14="", "", IF(ABS('Sensors (2)'!H14 - 'Sensors (2)'!$C14)&lt;='Sensors (2)'!$I14,"PASS","FAIL"))</f>
        <v/>
      </c>
      <c r="N14" s="59" t="str">
        <f xml:space="preserve"> IF('Sensors (2)'!D14="", "", IF(ABS('Sensors (2)'!H14 - 'Sensors (2)'!$D14)&lt;='Sensors (2)'!$I14,"PASS","FAIL"))</f>
        <v/>
      </c>
    </row>
    <row r="15" spans="1:18" ht="31.5" x14ac:dyDescent="0.25">
      <c r="A15" s="70" t="s">
        <v>133</v>
      </c>
      <c r="B15" s="47"/>
      <c r="C15" s="47"/>
      <c r="D15" s="47"/>
      <c r="F15" s="47">
        <v>0.1</v>
      </c>
      <c r="G15" s="47" t="s">
        <v>162</v>
      </c>
      <c r="H15" s="47">
        <v>0.1</v>
      </c>
      <c r="I15" s="35" t="s">
        <v>162</v>
      </c>
      <c r="J15" s="45" t="s">
        <v>95</v>
      </c>
      <c r="L15" s="59" t="str">
        <f xml:space="preserve"> IF('Sensors (2)'!B15="", "", IF(P15&lt;='Sensors (2)'!$F15,"PASS","FAIL"))</f>
        <v/>
      </c>
      <c r="M15" s="59" t="str">
        <f xml:space="preserve"> IF('Sensors (2)'!C15="", "", IF(Q15&lt;='Sensors (2)'!$H15,"PASS","FAIL"))</f>
        <v/>
      </c>
      <c r="N15" s="59" t="str">
        <f xml:space="preserve"> IF('Sensors (2)'!D15="", "", IF(R15&lt;='Sensors (2)'!$H15,"PASS","FAIL"))</f>
        <v/>
      </c>
      <c r="P15" s="103" t="e">
        <f>ABS('Sensors (2)'!$B15-#REF!)</f>
        <v>#REF!</v>
      </c>
      <c r="Q15" s="103" t="e">
        <f>ABS('Sensors (2)'!$C15-#REF!)</f>
        <v>#REF!</v>
      </c>
      <c r="R15" s="103" t="e">
        <f>ABS('Sensors (2)'!$D15-#REF!)</f>
        <v>#REF!</v>
      </c>
    </row>
    <row r="16" spans="1:18" ht="28.5" x14ac:dyDescent="0.25">
      <c r="A16" s="70" t="s">
        <v>134</v>
      </c>
      <c r="B16" s="47"/>
      <c r="C16" s="47"/>
      <c r="D16" s="47"/>
      <c r="F16" s="47">
        <v>-0.7</v>
      </c>
      <c r="G16" s="47">
        <v>0.8</v>
      </c>
      <c r="H16" s="47">
        <v>-0.7</v>
      </c>
      <c r="I16" s="35">
        <v>0.8</v>
      </c>
      <c r="J16" s="45" t="s">
        <v>95</v>
      </c>
      <c r="L16" s="59" t="str">
        <f xml:space="preserve"> IF('Sensors (2)'!B16="", "", IF(ABS('Sensors (2)'!F16 - 'Sensors (2)'!$B16)&lt;='Sensors (2)'!$G16,"PASS","FAIL"))</f>
        <v/>
      </c>
      <c r="M16" s="59" t="str">
        <f xml:space="preserve"> IF('Sensors (2)'!C16="", "", IF(ABS('Sensors (2)'!H16 - 'Sensors (2)'!$C16)&lt;='Sensors (2)'!$I16,"PASS","FAIL"))</f>
        <v/>
      </c>
      <c r="N16" s="59" t="str">
        <f xml:space="preserve"> IF('Sensors (2)'!D16="", "", IF(ABS('Sensors (2)'!H16 - 'Sensors (2)'!$D16)&lt;='Sensors (2)'!$I16,"PASS","FAIL"))</f>
        <v/>
      </c>
      <c r="P16" s="104"/>
      <c r="Q16" s="104"/>
      <c r="R16" s="104"/>
    </row>
    <row r="17" spans="1:18" ht="31.5" x14ac:dyDescent="0.25">
      <c r="A17" s="70" t="s">
        <v>136</v>
      </c>
      <c r="B17" s="47"/>
      <c r="C17" s="47"/>
      <c r="D17" s="47"/>
      <c r="F17" s="47">
        <v>1</v>
      </c>
      <c r="G17" s="47" t="s">
        <v>162</v>
      </c>
      <c r="H17" s="47">
        <v>1</v>
      </c>
      <c r="I17" s="35" t="s">
        <v>162</v>
      </c>
      <c r="J17" s="45" t="s">
        <v>94</v>
      </c>
      <c r="L17" s="59" t="str">
        <f xml:space="preserve"> IF('Sensors (2)'!B17="", "", IF(P17&lt;=F17,"PASS","FAIL"))</f>
        <v/>
      </c>
      <c r="M17" s="59" t="str">
        <f xml:space="preserve"> IF('Sensors (2)'!C17="", "", IF(Q17&lt;=H17,"PASS","FAIL"))</f>
        <v/>
      </c>
      <c r="N17" s="59" t="str">
        <f xml:space="preserve"> IF('Sensors (2)'!D17="", "", IF(R17&lt;=H17,"PASS","FAIL"))</f>
        <v/>
      </c>
      <c r="P17" s="103" t="e">
        <f>ABS('Sensors (2)'!$B17-#REF!)</f>
        <v>#REF!</v>
      </c>
      <c r="Q17" s="103" t="e">
        <f>ABS('Sensors (2)'!$C17-#REF!)</f>
        <v>#REF!</v>
      </c>
      <c r="R17" s="103" t="e">
        <f>ABS('Sensors (2)'!$D17-#REF!)</f>
        <v>#REF!</v>
      </c>
    </row>
    <row r="18" spans="1:18" ht="31.5" x14ac:dyDescent="0.25">
      <c r="A18" s="70" t="s">
        <v>135</v>
      </c>
      <c r="B18" s="47"/>
      <c r="C18" s="47"/>
      <c r="D18" s="47"/>
      <c r="F18" s="47">
        <v>0.1</v>
      </c>
      <c r="G18" s="47" t="s">
        <v>162</v>
      </c>
      <c r="H18" s="47">
        <v>0.1</v>
      </c>
      <c r="I18" s="35" t="s">
        <v>162</v>
      </c>
      <c r="J18" s="45" t="s">
        <v>95</v>
      </c>
      <c r="L18" s="59" t="str">
        <f xml:space="preserve"> IF('Sensors (2)'!B18="", "", IF(P18&lt;=F18,"PASS","FAIL"))</f>
        <v/>
      </c>
      <c r="M18" s="59" t="str">
        <f xml:space="preserve"> IF('Sensors (2)'!C18="", "", IF(Q18&lt;=H18,"PASS","FAIL"))</f>
        <v/>
      </c>
      <c r="N18" s="59" t="str">
        <f xml:space="preserve"> IF('Sensors (2)'!D18="", "", IF(R18&lt;=H18,"PASS","FAIL"))</f>
        <v/>
      </c>
      <c r="P18" s="103" t="e">
        <f>ABS('Sensors (2)'!$B18-#REF!)</f>
        <v>#REF!</v>
      </c>
      <c r="Q18" s="103" t="e">
        <f>ABS('Sensors (2)'!$C18-#REF!)</f>
        <v>#REF!</v>
      </c>
      <c r="R18" s="103" t="e">
        <f>ABS('Sensors (2)'!$D18-#REF!)</f>
        <v>#REF!</v>
      </c>
    </row>
    <row r="19" spans="1:18" ht="28.5" x14ac:dyDescent="0.25">
      <c r="A19" s="70" t="s">
        <v>137</v>
      </c>
      <c r="B19" s="47"/>
      <c r="C19" s="47"/>
      <c r="D19" s="47"/>
      <c r="F19" s="47">
        <v>-0.7</v>
      </c>
      <c r="G19" s="47">
        <v>0.8</v>
      </c>
      <c r="H19" s="47">
        <v>-0.7</v>
      </c>
      <c r="I19" s="35">
        <v>0.8</v>
      </c>
      <c r="J19" s="45" t="s">
        <v>95</v>
      </c>
      <c r="L19" s="59" t="str">
        <f xml:space="preserve"> IF('Sensors (2)'!B19="", "", IF(ABS('Sensors (2)'!F19 - 'Sensors (2)'!$B19)&lt;='Sensors (2)'!$G19,"PASS","FAIL"))</f>
        <v/>
      </c>
      <c r="M19" s="59" t="str">
        <f xml:space="preserve"> IF('Sensors (2)'!C19="", "", IF(ABS('Sensors (2)'!H19 - 'Sensors (2)'!$C19)&lt;='Sensors (2)'!$I19,"PASS","FAIL"))</f>
        <v/>
      </c>
      <c r="N19" s="59" t="str">
        <f xml:space="preserve"> IF('Sensors (2)'!D19="", "", IF(ABS('Sensors (2)'!H19 - 'Sensors (2)'!$D19)&lt;='Sensors (2)'!$I19,"PASS","FAIL"))</f>
        <v/>
      </c>
      <c r="P19" s="104"/>
      <c r="Q19" s="104"/>
      <c r="R19" s="104"/>
    </row>
    <row r="20" spans="1:18" ht="28.5" x14ac:dyDescent="0.25">
      <c r="A20" s="70" t="s">
        <v>138</v>
      </c>
      <c r="B20" s="47"/>
      <c r="C20" s="47"/>
      <c r="D20" s="47"/>
      <c r="F20" s="47">
        <v>1</v>
      </c>
      <c r="G20" s="47" t="s">
        <v>162</v>
      </c>
      <c r="H20" s="47">
        <v>1</v>
      </c>
      <c r="I20" s="35" t="s">
        <v>162</v>
      </c>
      <c r="J20" s="45" t="s">
        <v>94</v>
      </c>
      <c r="L20" s="59" t="str">
        <f xml:space="preserve"> IF('Sensors (2)'!B20="", "", IF(P20&lt;='Sensors (2)'!$F20,"PASS","FAIL"))</f>
        <v/>
      </c>
      <c r="M20" s="59" t="str">
        <f xml:space="preserve"> IF('Sensors (2)'!C20="", "", IF(Q20&lt;='Sensors (2)'!$H20,"PASS","FAIL"))</f>
        <v/>
      </c>
      <c r="N20" s="59" t="str">
        <f xml:space="preserve"> IF('Sensors (2)'!D20="", "", IF(R20&lt;='Sensors (2)'!$H20,"PASS","FAIL"))</f>
        <v/>
      </c>
      <c r="P20" s="103" t="e">
        <f>ABS('Sensors (2)'!$B20-#REF!)</f>
        <v>#REF!</v>
      </c>
      <c r="Q20" s="103" t="e">
        <f>ABS('Sensors (2)'!$C20-#REF!)</f>
        <v>#REF!</v>
      </c>
      <c r="R20" s="103" t="e">
        <f>ABS('Sensors (2)'!$D20-#REF!)</f>
        <v>#REF!</v>
      </c>
    </row>
    <row r="21" spans="1:18" x14ac:dyDescent="0.25">
      <c r="L21" s="55"/>
      <c r="M21" s="55"/>
    </row>
    <row r="22" spans="1:18" ht="31.5" x14ac:dyDescent="0.25">
      <c r="A22" s="43" t="s">
        <v>101</v>
      </c>
      <c r="B22" s="43" t="s">
        <v>61</v>
      </c>
      <c r="C22" s="43" t="s">
        <v>62</v>
      </c>
      <c r="D22" s="43" t="s">
        <v>63</v>
      </c>
      <c r="F22" s="43" t="s">
        <v>105</v>
      </c>
      <c r="G22" s="43" t="s">
        <v>107</v>
      </c>
      <c r="H22" s="43" t="s">
        <v>104</v>
      </c>
      <c r="I22" s="43" t="s">
        <v>108</v>
      </c>
      <c r="J22" s="43" t="s">
        <v>93</v>
      </c>
      <c r="L22" s="55"/>
    </row>
    <row r="23" spans="1:18" ht="28.5" x14ac:dyDescent="0.25">
      <c r="A23" s="70" t="s">
        <v>139</v>
      </c>
      <c r="B23" s="47"/>
      <c r="C23" s="47"/>
      <c r="D23" s="47"/>
      <c r="F23" s="47">
        <v>5</v>
      </c>
      <c r="G23" s="47">
        <v>0.1</v>
      </c>
      <c r="H23" s="47">
        <v>5</v>
      </c>
      <c r="I23" s="35">
        <v>0.1</v>
      </c>
      <c r="J23" s="45" t="s">
        <v>95</v>
      </c>
      <c r="L23" s="59" t="str">
        <f xml:space="preserve"> IF('Sensors (2)'!B23="", "", IF(ABS('Sensors (2)'!F23 - 'Sensors (2)'!$B23)&lt;='Sensors (2)'!$G23,"PASS","FAIL"))</f>
        <v/>
      </c>
      <c r="M23" s="59" t="str">
        <f xml:space="preserve"> IF('Sensors (2)'!C23="", "", IF(ABS('Sensors (2)'!H23 - 'Sensors (2)'!$C23)&lt;='Sensors (2)'!$I23,"PASS","FAIL"))</f>
        <v/>
      </c>
      <c r="N23" s="59" t="str">
        <f xml:space="preserve"> IF('Sensors (2)'!D23="", "", IF(ABS('Sensors (2)'!D23 - 'Sensors (2)'!$H23)&lt;='Sensors (2)'!$I23,"PASS","FAIL"))</f>
        <v/>
      </c>
    </row>
    <row r="24" spans="1:18" ht="28.5" x14ac:dyDescent="0.25">
      <c r="A24" s="70" t="s">
        <v>140</v>
      </c>
      <c r="B24" s="47"/>
      <c r="C24" s="47"/>
      <c r="D24" s="47"/>
      <c r="F24" s="47">
        <v>165</v>
      </c>
      <c r="G24" s="47">
        <v>25</v>
      </c>
      <c r="H24" s="47">
        <v>165</v>
      </c>
      <c r="I24" s="35">
        <v>25</v>
      </c>
      <c r="J24" s="45" t="s">
        <v>94</v>
      </c>
      <c r="L24" s="59" t="str">
        <f xml:space="preserve"> IF('Sensors (2)'!B24="", "", IF(ABS('Sensors (2)'!F24 - 'Sensors (2)'!$B24)&lt;='Sensors (2)'!$G24,"PASS","FAIL"))</f>
        <v/>
      </c>
      <c r="M24" s="59" t="str">
        <f xml:space="preserve"> IF('Sensors (2)'!C24="", "", IF(ABS('Sensors (2)'!H24 - 'Sensors (2)'!$C24)&lt;='Sensors (2)'!$I24,"PASS","FAIL"))</f>
        <v/>
      </c>
      <c r="N24" s="59" t="str">
        <f xml:space="preserve"> IF('Sensors (2)'!D24="", "", IF(ABS('Sensors (2)'!D24 - 'Sensors (2)'!$H24)&lt;='Sensors (2)'!$I24,"PASS","FAIL"))</f>
        <v/>
      </c>
    </row>
    <row r="25" spans="1:18" ht="28.5" x14ac:dyDescent="0.25">
      <c r="A25" s="70" t="s">
        <v>141</v>
      </c>
      <c r="B25" s="47"/>
      <c r="C25" s="47"/>
      <c r="D25" s="47"/>
      <c r="F25" s="47">
        <v>5</v>
      </c>
      <c r="G25" s="47">
        <v>0.1</v>
      </c>
      <c r="H25" s="47">
        <v>5</v>
      </c>
      <c r="I25" s="35">
        <v>0.1</v>
      </c>
      <c r="J25" s="45" t="s">
        <v>95</v>
      </c>
      <c r="L25" s="59" t="str">
        <f xml:space="preserve"> IF('Sensors (2)'!B25="", "", IF(ABS('Sensors (2)'!F25 - 'Sensors (2)'!$B25)&lt;='Sensors (2)'!$G25,"PASS","FAIL"))</f>
        <v/>
      </c>
      <c r="M25" s="59" t="str">
        <f xml:space="preserve"> IF('Sensors (2)'!C25="", "", IF(ABS('Sensors (2)'!H25 - 'Sensors (2)'!$C25)&lt;='Sensors (2)'!$I25,"PASS","FAIL"))</f>
        <v/>
      </c>
      <c r="N25" s="59" t="str">
        <f xml:space="preserve"> IF('Sensors (2)'!D25="", "", IF(ABS('Sensors (2)'!D25 - 'Sensors (2)'!$H25)&lt;='Sensors (2)'!$I25,"PASS","FAIL"))</f>
        <v/>
      </c>
    </row>
    <row r="26" spans="1:18" ht="28.5" x14ac:dyDescent="0.25">
      <c r="A26" s="70" t="s">
        <v>142</v>
      </c>
      <c r="B26" s="47"/>
      <c r="C26" s="47"/>
      <c r="D26" s="47"/>
      <c r="F26" s="47">
        <v>165</v>
      </c>
      <c r="G26" s="47">
        <v>25</v>
      </c>
      <c r="H26" s="47">
        <v>165</v>
      </c>
      <c r="I26" s="35">
        <v>25</v>
      </c>
      <c r="J26" s="45" t="s">
        <v>94</v>
      </c>
      <c r="L26" s="59" t="str">
        <f xml:space="preserve"> IF('Sensors (2)'!B26="", "", IF(ABS('Sensors (2)'!F26 - 'Sensors (2)'!$B26)&lt;='Sensors (2)'!$G26,"PASS","FAIL"))</f>
        <v/>
      </c>
      <c r="M26" s="59" t="str">
        <f xml:space="preserve"> IF('Sensors (2)'!C26="", "", IF(ABS('Sensors (2)'!H26 - 'Sensors (2)'!$C26)&lt;='Sensors (2)'!$I26,"PASS","FAIL"))</f>
        <v/>
      </c>
      <c r="N26" s="59" t="str">
        <f xml:space="preserve"> IF('Sensors (2)'!D26="", "", IF(ABS('Sensors (2)'!D26 - 'Sensors (2)'!$H26)&lt;='Sensors (2)'!$I26,"PASS","FAIL"))</f>
        <v/>
      </c>
    </row>
    <row r="27" spans="1:18" ht="28.5" x14ac:dyDescent="0.25">
      <c r="A27" s="70" t="s">
        <v>188</v>
      </c>
      <c r="B27" s="47"/>
      <c r="C27" s="47"/>
      <c r="D27" s="47"/>
      <c r="F27" s="47">
        <v>11</v>
      </c>
      <c r="G27" s="47">
        <v>1</v>
      </c>
      <c r="H27" s="47">
        <v>11</v>
      </c>
      <c r="I27" s="35">
        <v>1</v>
      </c>
      <c r="J27" s="45" t="s">
        <v>95</v>
      </c>
      <c r="L27" s="59" t="str">
        <f xml:space="preserve"> IF('Sensors (2)'!B27="", "", IF(ABS('Sensors (2)'!F27 - 'Sensors (2)'!$B27)&lt;='Sensors (2)'!$G27,"PASS","FAIL"))</f>
        <v/>
      </c>
      <c r="M27" s="59" t="str">
        <f xml:space="preserve"> IF('Sensors (2)'!C27="", "", IF(ABS('Sensors (2)'!H27 - 'Sensors (2)'!$C27)&lt;='Sensors (2)'!$I27,"PASS","FAIL"))</f>
        <v/>
      </c>
      <c r="N27" s="59" t="str">
        <f xml:space="preserve"> IF('Sensors (2)'!D27="", "", IF(ABS('Sensors (2)'!D27 - 'Sensors (2)'!$H27)&lt;='Sensors (2)'!$I27,"PASS","FAIL"))</f>
        <v/>
      </c>
    </row>
    <row r="28" spans="1:18" ht="28.5" x14ac:dyDescent="0.25">
      <c r="A28" s="70" t="s">
        <v>143</v>
      </c>
      <c r="B28" s="47"/>
      <c r="C28" s="47"/>
      <c r="D28" s="47"/>
      <c r="F28" s="47">
        <v>5</v>
      </c>
      <c r="G28" s="47">
        <v>0.1</v>
      </c>
      <c r="H28" s="47">
        <v>5</v>
      </c>
      <c r="I28" s="35">
        <v>0.1</v>
      </c>
      <c r="J28" s="45" t="s">
        <v>94</v>
      </c>
      <c r="L28" s="59" t="str">
        <f xml:space="preserve"> IF('Sensors (2)'!B28="", "", IF(ABS('Sensors (2)'!F28 - 'Sensors (2)'!$B28)&lt;='Sensors (2)'!$G28,"PASS","FAIL"))</f>
        <v/>
      </c>
      <c r="M28" s="59" t="str">
        <f xml:space="preserve"> IF('Sensors (2)'!C28="", "", IF(ABS('Sensors (2)'!H28 - 'Sensors (2)'!$C28)&lt;='Sensors (2)'!$I28,"PASS","FAIL"))</f>
        <v/>
      </c>
      <c r="N28" s="59" t="str">
        <f xml:space="preserve"> IF('Sensors (2)'!D28="", "", IF(ABS('Sensors (2)'!D28 - 'Sensors (2)'!$H28)&lt;='Sensors (2)'!$I28,"PASS","FAIL"))</f>
        <v/>
      </c>
    </row>
    <row r="29" spans="1:18" ht="28.5" x14ac:dyDescent="0.25">
      <c r="A29" s="70" t="s">
        <v>144</v>
      </c>
      <c r="B29" s="47"/>
      <c r="C29" s="47"/>
      <c r="D29" s="47"/>
      <c r="F29" s="47">
        <v>5.95</v>
      </c>
      <c r="G29" s="47">
        <v>0.15</v>
      </c>
      <c r="H29" s="47">
        <v>5.95</v>
      </c>
      <c r="I29" s="35">
        <v>0.15</v>
      </c>
      <c r="J29" s="45" t="s">
        <v>95</v>
      </c>
      <c r="L29" s="59" t="str">
        <f xml:space="preserve"> IF('Sensors (2)'!B29="", "", IF(ABS('Sensors (2)'!F29 - 'Sensors (2)'!$B29)&lt;='Sensors (2)'!$G29,"PASS","FAIL"))</f>
        <v/>
      </c>
      <c r="M29" s="59" t="str">
        <f xml:space="preserve"> IF('Sensors (2)'!C29="", "", IF(ABS('Sensors (2)'!H29 - 'Sensors (2)'!$C29)&lt;='Sensors (2)'!$I29,"PASS","FAIL"))</f>
        <v/>
      </c>
      <c r="N29" s="59" t="str">
        <f xml:space="preserve"> IF('Sensors (2)'!D29="", "", IF(ABS('Sensors (2)'!D29 - 'Sensors (2)'!$H29)&lt;='Sensors (2)'!$I29,"PASS","FAIL"))</f>
        <v/>
      </c>
    </row>
    <row r="30" spans="1:18" ht="28.5" x14ac:dyDescent="0.25">
      <c r="A30" s="70" t="s">
        <v>145</v>
      </c>
      <c r="B30" s="47"/>
      <c r="C30" s="47"/>
      <c r="D30" s="47"/>
      <c r="F30" s="47">
        <v>200</v>
      </c>
      <c r="G30" s="47">
        <v>40</v>
      </c>
      <c r="H30" s="47">
        <v>200</v>
      </c>
      <c r="I30" s="35">
        <v>40</v>
      </c>
      <c r="J30" s="45" t="s">
        <v>94</v>
      </c>
      <c r="L30" s="59" t="str">
        <f xml:space="preserve"> IF('Sensors (2)'!B30="", "", IF(ABS('Sensors (2)'!F30 - 'Sensors (2)'!$B30)&lt;='Sensors (2)'!$G30,"PASS","FAIL"))</f>
        <v/>
      </c>
      <c r="M30" s="59" t="str">
        <f xml:space="preserve"> IF('Sensors (2)'!C30="", "", IF(ABS('Sensors (2)'!H30 - 'Sensors (2)'!$C30)&lt;='Sensors (2)'!$I30,"PASS","FAIL"))</f>
        <v/>
      </c>
      <c r="N30" s="59" t="str">
        <f xml:space="preserve"> IF('Sensors (2)'!D30="", "", IF(ABS('Sensors (2)'!D30 - 'Sensors (2)'!$H30)&lt;='Sensors (2)'!$I30,"PASS","FAIL"))</f>
        <v/>
      </c>
    </row>
    <row r="31" spans="1:18" ht="28.5" x14ac:dyDescent="0.25">
      <c r="A31" s="70" t="s">
        <v>155</v>
      </c>
      <c r="B31" s="47"/>
      <c r="C31" s="47"/>
      <c r="D31" s="47"/>
      <c r="F31" s="47">
        <v>35</v>
      </c>
      <c r="G31" s="47">
        <v>15</v>
      </c>
      <c r="H31" s="47">
        <v>35</v>
      </c>
      <c r="I31" s="35">
        <v>15</v>
      </c>
      <c r="J31" s="45" t="s">
        <v>100</v>
      </c>
      <c r="L31" s="59" t="str">
        <f xml:space="preserve"> IF('Sensors (2)'!B31="", "", IF(ABS('Sensors (2)'!F31 - 'Sensors (2)'!$B31)&lt;='Sensors (2)'!$G31,"PASS","FAIL"))</f>
        <v/>
      </c>
      <c r="M31" s="59" t="str">
        <f xml:space="preserve"> IF('Sensors (2)'!C31="", "", IF(ABS('Sensors (2)'!H31 - 'Sensors (2)'!$C31)&lt;='Sensors (2)'!$I31,"PASS","FAIL"))</f>
        <v/>
      </c>
      <c r="N31" s="59" t="str">
        <f xml:space="preserve"> IF('Sensors (2)'!D31="", "", IF(ABS('Sensors (2)'!D31 - 'Sensors (2)'!$H31)&lt;='Sensors (2)'!$I31,"PASS","FAIL"))</f>
        <v/>
      </c>
    </row>
    <row r="32" spans="1:18" ht="28.5" x14ac:dyDescent="0.25">
      <c r="A32" s="70" t="s">
        <v>146</v>
      </c>
      <c r="B32" s="47"/>
      <c r="C32" s="47"/>
      <c r="D32" s="47"/>
      <c r="F32" s="47">
        <v>10</v>
      </c>
      <c r="G32" s="47">
        <v>2</v>
      </c>
      <c r="H32" s="47">
        <v>10</v>
      </c>
      <c r="I32" s="35">
        <v>2</v>
      </c>
      <c r="J32" s="45" t="s">
        <v>95</v>
      </c>
      <c r="L32" s="59" t="str">
        <f xml:space="preserve"> IF('Sensors (2)'!B32="", "", IF(ABS('Sensors (2)'!F32 - 'Sensors (2)'!$B32)&lt;='Sensors (2)'!$G32,"PASS","FAIL"))</f>
        <v/>
      </c>
      <c r="M32" s="59" t="str">
        <f xml:space="preserve"> IF('Sensors (2)'!C32="", "", IF(ABS('Sensors (2)'!H32 - 'Sensors (2)'!$C32)&lt;='Sensors (2)'!$I32,"PASS","FAIL"))</f>
        <v/>
      </c>
      <c r="N32" s="59" t="str">
        <f xml:space="preserve"> IF('Sensors (2)'!D32="", "", IF(ABS('Sensors (2)'!D32 - 'Sensors (2)'!$H32)&lt;='Sensors (2)'!$I32,"PASS","FAIL"))</f>
        <v/>
      </c>
    </row>
    <row r="33" spans="1:14" ht="28.5" x14ac:dyDescent="0.25">
      <c r="A33" s="70" t="s">
        <v>147</v>
      </c>
      <c r="B33" s="47"/>
      <c r="C33" s="47"/>
      <c r="D33" s="47"/>
      <c r="F33" s="47">
        <v>35</v>
      </c>
      <c r="G33" s="47">
        <v>15</v>
      </c>
      <c r="H33" s="47">
        <v>35</v>
      </c>
      <c r="I33" s="35">
        <v>15</v>
      </c>
      <c r="J33" s="45" t="s">
        <v>100</v>
      </c>
      <c r="L33" s="59" t="str">
        <f xml:space="preserve"> IF('Sensors (2)'!B33="", "", IF(ABS('Sensors (2)'!F33 - 'Sensors (2)'!$B33)&lt;='Sensors (2)'!$G33,"PASS","FAIL"))</f>
        <v/>
      </c>
      <c r="M33" s="59" t="str">
        <f xml:space="preserve"> IF('Sensors (2)'!C33="", "", IF(ABS('Sensors (2)'!H33 - 'Sensors (2)'!$C33)&lt;='Sensors (2)'!$I33,"PASS","FAIL"))</f>
        <v/>
      </c>
      <c r="N33" s="59" t="str">
        <f xml:space="preserve"> IF('Sensors (2)'!D33="", "", IF(ABS('Sensors (2)'!D33 - 'Sensors (2)'!$H33)&lt;='Sensors (2)'!$I33,"PASS","FAIL"))</f>
        <v/>
      </c>
    </row>
    <row r="34" spans="1:14" ht="28.5" x14ac:dyDescent="0.25">
      <c r="A34" s="70" t="s">
        <v>152</v>
      </c>
      <c r="B34" s="47"/>
      <c r="C34" s="47"/>
      <c r="D34" s="47"/>
      <c r="F34" s="47">
        <v>35</v>
      </c>
      <c r="G34" s="47">
        <v>15</v>
      </c>
      <c r="H34" s="47">
        <v>35</v>
      </c>
      <c r="I34" s="35">
        <v>15</v>
      </c>
      <c r="J34" s="45" t="s">
        <v>100</v>
      </c>
      <c r="L34" s="59" t="str">
        <f xml:space="preserve"> IF('Sensors (2)'!B34="", "", IF(ABS('Sensors (2)'!F34 - 'Sensors (2)'!$B34)&lt;='Sensors (2)'!$G34,"PASS","FAIL"))</f>
        <v/>
      </c>
      <c r="M34" s="59" t="str">
        <f xml:space="preserve"> IF('Sensors (2)'!C34="", "", IF(ABS('Sensors (2)'!H34 - 'Sensors (2)'!$C34)&lt;='Sensors (2)'!$I34,"PASS","FAIL"))</f>
        <v/>
      </c>
      <c r="N34" s="59" t="str">
        <f xml:space="preserve"> IF('Sensors (2)'!D34="", "", IF(ABS('Sensors (2)'!D34 - 'Sensors (2)'!$H34)&lt;='Sensors (2)'!$I34,"PASS","FAIL"))</f>
        <v/>
      </c>
    </row>
    <row r="35" spans="1:14" ht="28.5" x14ac:dyDescent="0.25">
      <c r="A35" s="70" t="s">
        <v>148</v>
      </c>
      <c r="B35" s="47"/>
      <c r="C35" s="47"/>
      <c r="D35" s="47"/>
      <c r="F35" s="47">
        <v>35</v>
      </c>
      <c r="G35" s="47">
        <v>15</v>
      </c>
      <c r="H35" s="47">
        <v>35</v>
      </c>
      <c r="I35" s="35">
        <v>15</v>
      </c>
      <c r="J35" s="45" t="s">
        <v>100</v>
      </c>
      <c r="L35" s="59" t="str">
        <f xml:space="preserve"> IF('Sensors (2)'!B35="", "", IF(ABS('Sensors (2)'!F35 - 'Sensors (2)'!$B35)&lt;='Sensors (2)'!$G35,"PASS","FAIL"))</f>
        <v/>
      </c>
      <c r="M35" s="59" t="str">
        <f xml:space="preserve"> IF('Sensors (2)'!C35="", "", IF(ABS('Sensors (2)'!H35 - 'Sensors (2)'!$C35)&lt;='Sensors (2)'!$I35,"PASS","FAIL"))</f>
        <v/>
      </c>
      <c r="N35" s="59" t="str">
        <f xml:space="preserve"> IF('Sensors (2)'!D35="", "", IF(ABS('Sensors (2)'!D35 - 'Sensors (2)'!$H35)&lt;='Sensors (2)'!$I35,"PASS","FAIL"))</f>
        <v/>
      </c>
    </row>
    <row r="36" spans="1:14" x14ac:dyDescent="0.25">
      <c r="L36" s="55"/>
      <c r="M36" s="55"/>
      <c r="N36" s="55"/>
    </row>
    <row r="37" spans="1:14" ht="31.5" x14ac:dyDescent="0.25">
      <c r="A37" s="43" t="s">
        <v>103</v>
      </c>
      <c r="B37" s="43" t="s">
        <v>61</v>
      </c>
      <c r="C37" s="43" t="s">
        <v>62</v>
      </c>
      <c r="D37" s="43" t="s">
        <v>63</v>
      </c>
      <c r="F37" s="43" t="s">
        <v>105</v>
      </c>
      <c r="G37" s="43" t="s">
        <v>107</v>
      </c>
      <c r="H37" s="43" t="s">
        <v>104</v>
      </c>
      <c r="I37" s="43" t="s">
        <v>108</v>
      </c>
      <c r="J37" s="43" t="s">
        <v>93</v>
      </c>
    </row>
    <row r="38" spans="1:14" ht="28.5" x14ac:dyDescent="0.25">
      <c r="A38" s="70" t="s">
        <v>191</v>
      </c>
      <c r="B38" s="89"/>
      <c r="C38" s="47"/>
      <c r="D38" s="47"/>
      <c r="F38" s="89"/>
      <c r="G38" s="90"/>
      <c r="H38" s="47">
        <v>900</v>
      </c>
      <c r="I38" s="35">
        <v>500</v>
      </c>
      <c r="J38" s="45" t="s">
        <v>94</v>
      </c>
      <c r="L38" s="92"/>
      <c r="M38" s="57" t="str">
        <f xml:space="preserve"> IF('Sensors (2)'!C38="", "", IF(ABS('Sensors (2)'!C38 - 'Sensors (2)'!$H38)&lt;='Sensors (2)'!$I38,"PASS","FAIL"))</f>
        <v/>
      </c>
      <c r="N38" s="57" t="str">
        <f xml:space="preserve"> IF('Sensors (2)'!D38="", "", IF(ABS('Sensors (2)'!D38 - 'Sensors (2)'!$H38)&lt;='Sensors (2)'!$I38,"PASS","FAIL"))</f>
        <v/>
      </c>
    </row>
    <row r="39" spans="1:14" ht="28.5" x14ac:dyDescent="0.25">
      <c r="A39" s="70" t="s">
        <v>192</v>
      </c>
      <c r="B39" s="89"/>
      <c r="C39" s="47"/>
      <c r="D39" s="47"/>
      <c r="F39" s="89"/>
      <c r="G39" s="90"/>
      <c r="H39" s="47">
        <v>900</v>
      </c>
      <c r="I39" s="35">
        <v>500</v>
      </c>
      <c r="J39" s="45" t="s">
        <v>94</v>
      </c>
      <c r="L39" s="92"/>
      <c r="M39" s="57" t="str">
        <f xml:space="preserve"> IF('Sensors (2)'!C39="", "", IF(ABS('Sensors (2)'!C39 - 'Sensors (2)'!$H39)&lt;='Sensors (2)'!$I39,"PASS","FAIL"))</f>
        <v/>
      </c>
      <c r="N39" s="57" t="str">
        <f xml:space="preserve"> IF('Sensors (2)'!D39="", "", IF(ABS('Sensors (2)'!D39 - 'Sensors (2)'!$H39)&lt;='Sensors (2)'!$I39,"PASS","FAIL"))</f>
        <v/>
      </c>
    </row>
    <row r="40" spans="1:14" ht="28.5" x14ac:dyDescent="0.25">
      <c r="A40" s="70" t="s">
        <v>168</v>
      </c>
      <c r="B40" s="89"/>
      <c r="C40" s="47"/>
      <c r="D40" s="47"/>
      <c r="F40" s="89"/>
      <c r="G40" s="90"/>
      <c r="H40" s="47">
        <v>60</v>
      </c>
      <c r="I40" s="35">
        <v>20</v>
      </c>
      <c r="J40" s="45" t="s">
        <v>100</v>
      </c>
      <c r="L40" s="92"/>
      <c r="M40" s="57" t="str">
        <f xml:space="preserve"> IF('Sensors (2)'!C40="", "", IF(ABS('Sensors (2)'!C40 - 'Sensors (2)'!$H40)&lt;='Sensors (2)'!$I40,"PASS","FAIL"))</f>
        <v/>
      </c>
      <c r="N40" s="57" t="str">
        <f xml:space="preserve"> IF('Sensors (2)'!D40="", "", IF(ABS('Sensors (2)'!D40 - 'Sensors (2)'!$H40)&lt;='Sensors (2)'!$I40,"PASS","FAIL"))</f>
        <v/>
      </c>
    </row>
    <row r="41" spans="1:14" ht="28.5" x14ac:dyDescent="0.25">
      <c r="A41" s="70" t="s">
        <v>153</v>
      </c>
      <c r="B41" s="47"/>
      <c r="C41" s="102"/>
      <c r="D41" s="102"/>
      <c r="F41" s="48">
        <v>1000</v>
      </c>
      <c r="G41" s="49">
        <v>50</v>
      </c>
      <c r="H41" s="47">
        <v>0.01</v>
      </c>
      <c r="I41" s="49" t="s">
        <v>164</v>
      </c>
      <c r="J41" s="46" t="s">
        <v>102</v>
      </c>
      <c r="L41" s="57" t="str">
        <f xml:space="preserve"> IF('Sensors (2)'!B41="", "", IF(ABS('Sensors (2)'!F41 - 'Sensors (2)'!$B41)&lt;='Sensors (2)'!$G41,"PASS","FAIL"))</f>
        <v/>
      </c>
      <c r="M41" s="57" t="str">
        <f xml:space="preserve"> IF('Sensors (2)'!C41="", "", IF('Sensors (2)'!$C41&lt;'Sensors (2)'!$H41,"PASS","FAIL"))</f>
        <v/>
      </c>
      <c r="N41" s="57" t="str">
        <f xml:space="preserve"> IF('Sensors (2)'!D41="", "", IF('Sensors (2)'!$D41&lt;'Sensors (2)'!$H41,"PASS","FAIL"))</f>
        <v/>
      </c>
    </row>
    <row r="42" spans="1:14" ht="28.5" x14ac:dyDescent="0.25">
      <c r="A42" s="70" t="s">
        <v>154</v>
      </c>
      <c r="B42" s="47"/>
      <c r="C42" s="89"/>
      <c r="D42" s="89"/>
      <c r="F42" s="47">
        <v>1000</v>
      </c>
      <c r="G42" s="35">
        <v>50</v>
      </c>
      <c r="H42" s="91"/>
      <c r="I42" s="90"/>
      <c r="J42" s="46" t="s">
        <v>102</v>
      </c>
      <c r="L42" s="57" t="str">
        <f xml:space="preserve"> IF('Sensors (2)'!B42="", "", IF(ABS('Sensors (2)'!F42 - 'Sensors (2)'!$B42)&lt;='Sensors (2)'!$G42,"PASS","FAIL"))</f>
        <v/>
      </c>
      <c r="M42" s="92"/>
      <c r="N42" s="92"/>
    </row>
    <row r="43" spans="1:14" x14ac:dyDescent="0.25">
      <c r="B43"/>
      <c r="F43" s="7" t="s">
        <v>163</v>
      </c>
      <c r="G43" s="7" t="s">
        <v>164</v>
      </c>
    </row>
    <row r="44" spans="1:14" x14ac:dyDescent="0.25">
      <c r="B44"/>
    </row>
    <row r="45" spans="1:14" x14ac:dyDescent="0.25">
      <c r="B45"/>
    </row>
    <row r="46" spans="1:14" x14ac:dyDescent="0.25">
      <c r="B46"/>
    </row>
    <row r="47" spans="1:14" x14ac:dyDescent="0.25">
      <c r="B47"/>
    </row>
    <row r="48" spans="1:14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</sheetData>
  <mergeCells count="1">
    <mergeCell ref="A1:I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327E7-4F4F-403F-A902-837DC6F7CDA7}">
  <sheetPr codeName="Sheet16"/>
  <dimension ref="A1:M34"/>
  <sheetViews>
    <sheetView workbookViewId="0">
      <selection activeCell="H8" sqref="H8"/>
    </sheetView>
  </sheetViews>
  <sheetFormatPr defaultColWidth="9.140625" defaultRowHeight="15" x14ac:dyDescent="0.25"/>
  <cols>
    <col min="1" max="1" width="38.140625" style="7" customWidth="1"/>
    <col min="2" max="2" width="33.7109375" style="7" customWidth="1"/>
    <col min="3" max="3" width="22.28515625" style="7" bestFit="1" customWidth="1"/>
    <col min="4" max="4" width="22.85546875" style="7" bestFit="1" customWidth="1"/>
    <col min="5" max="5" width="5" style="7" customWidth="1"/>
    <col min="6" max="6" width="12.85546875" style="7" bestFit="1" customWidth="1"/>
    <col min="7" max="7" width="10.28515625" style="7" bestFit="1" customWidth="1"/>
    <col min="8" max="8" width="14.7109375" style="7" customWidth="1"/>
    <col min="9" max="9" width="4.85546875" style="7" customWidth="1"/>
    <col min="10" max="10" width="22.28515625" style="7" bestFit="1" customWidth="1"/>
    <col min="11" max="11" width="18.5703125" style="7" bestFit="1" customWidth="1"/>
    <col min="12" max="16384" width="9.140625" style="7"/>
  </cols>
  <sheetData>
    <row r="1" spans="1:13" ht="26.25" x14ac:dyDescent="0.4">
      <c r="A1" s="152" t="s">
        <v>109</v>
      </c>
      <c r="B1" s="152"/>
      <c r="C1" s="152"/>
      <c r="D1" s="152"/>
      <c r="E1" s="152"/>
      <c r="F1" s="152"/>
      <c r="G1" s="152"/>
      <c r="H1" s="152"/>
    </row>
    <row r="2" spans="1:13" ht="35.25" customHeight="1" x14ac:dyDescent="0.25"/>
    <row r="3" spans="1:13" ht="20.100000000000001" customHeight="1" x14ac:dyDescent="0.25">
      <c r="A3" s="18" t="s">
        <v>37</v>
      </c>
      <c r="B3" s="35" t="s">
        <v>38</v>
      </c>
    </row>
    <row r="4" spans="1:13" ht="20.100000000000001" customHeight="1" x14ac:dyDescent="0.25">
      <c r="A4" s="18"/>
      <c r="B4" s="35" t="s">
        <v>38</v>
      </c>
    </row>
    <row r="5" spans="1:13" ht="20.100000000000001" customHeight="1" x14ac:dyDescent="0.25">
      <c r="A5" s="18"/>
      <c r="B5" s="35" t="s">
        <v>38</v>
      </c>
    </row>
    <row r="6" spans="1:13" ht="20.100000000000001" customHeight="1" x14ac:dyDescent="0.25">
      <c r="A6" s="17"/>
      <c r="B6" s="11"/>
    </row>
    <row r="7" spans="1:13" ht="30" customHeight="1" x14ac:dyDescent="0.25">
      <c r="A7" s="53" t="s">
        <v>110</v>
      </c>
      <c r="B7" s="43" t="s">
        <v>61</v>
      </c>
      <c r="C7" s="43" t="s">
        <v>62</v>
      </c>
      <c r="D7" s="43" t="s">
        <v>63</v>
      </c>
      <c r="F7" s="43" t="s">
        <v>111</v>
      </c>
      <c r="G7" s="43" t="s">
        <v>114</v>
      </c>
      <c r="H7" s="43" t="s">
        <v>112</v>
      </c>
      <c r="J7" s="43" t="s">
        <v>116</v>
      </c>
      <c r="K7" s="43" t="s">
        <v>117</v>
      </c>
    </row>
    <row r="8" spans="1:13" ht="15" customHeight="1" x14ac:dyDescent="0.25">
      <c r="A8" s="52" t="s">
        <v>64</v>
      </c>
      <c r="B8" s="50"/>
      <c r="C8" s="35"/>
      <c r="D8" s="35"/>
      <c r="F8" s="35">
        <v>55</v>
      </c>
      <c r="G8" s="35">
        <v>25</v>
      </c>
      <c r="H8" s="33" t="s">
        <v>119</v>
      </c>
      <c r="J8" s="35" t="str">
        <f>IF(C8="","",IF(ABS(F8-C8)&lt;=G8,"PASS","FAIL"))</f>
        <v/>
      </c>
      <c r="K8" s="35" t="str">
        <f>IF(D8="","",IF(ABS(F8-D8)&lt;=G8,"PASS","FAIL"))</f>
        <v/>
      </c>
    </row>
    <row r="9" spans="1:13" x14ac:dyDescent="0.25">
      <c r="A9" s="52" t="s">
        <v>124</v>
      </c>
      <c r="B9" s="51"/>
      <c r="C9" s="35"/>
      <c r="D9" s="35"/>
      <c r="F9" s="49">
        <v>0.6</v>
      </c>
      <c r="G9" s="49" t="s">
        <v>120</v>
      </c>
      <c r="H9" s="32" t="s">
        <v>39</v>
      </c>
      <c r="J9" s="35" t="str">
        <f>IF(C9="","",IF(C9&gt;F9,"PASS","FAIL"))</f>
        <v/>
      </c>
      <c r="K9" s="35" t="str">
        <f>IF(D9="","",IF(D9&gt;F9,"PASS","FAIL"))</f>
        <v/>
      </c>
    </row>
    <row r="10" spans="1:13" x14ac:dyDescent="0.25">
      <c r="A10" s="52"/>
      <c r="B10" s="11"/>
      <c r="C10" s="11"/>
      <c r="D10" s="11"/>
      <c r="E10" s="11"/>
      <c r="F10" s="11"/>
      <c r="G10" s="11"/>
      <c r="H10" s="11"/>
    </row>
    <row r="11" spans="1:13" ht="15" customHeight="1" x14ac:dyDescent="0.25">
      <c r="B11" s="11"/>
      <c r="C11" s="11"/>
      <c r="D11" s="11"/>
      <c r="E11" s="11"/>
      <c r="F11" s="11"/>
      <c r="G11" s="11"/>
      <c r="H11" s="11"/>
      <c r="J11" s="13"/>
      <c r="K11" s="13"/>
      <c r="L11" s="13"/>
      <c r="M11" s="13"/>
    </row>
    <row r="12" spans="1:13" ht="15" customHeight="1" x14ac:dyDescent="0.25">
      <c r="A12" s="20"/>
      <c r="B12" s="11"/>
      <c r="C12" s="11"/>
      <c r="D12" s="11"/>
      <c r="E12" s="11"/>
      <c r="F12" s="11"/>
      <c r="G12" s="11"/>
      <c r="H12" s="11"/>
      <c r="J12" s="13"/>
      <c r="K12" s="13"/>
      <c r="L12" s="13"/>
      <c r="M12" s="13"/>
    </row>
    <row r="13" spans="1:13" ht="15" customHeight="1" x14ac:dyDescent="0.25">
      <c r="A13" s="20"/>
      <c r="B13" s="11"/>
      <c r="C13" s="11"/>
      <c r="D13" s="11"/>
      <c r="E13" s="11"/>
      <c r="F13" s="11"/>
      <c r="G13" s="11"/>
      <c r="H13" s="11"/>
      <c r="J13" s="13"/>
      <c r="K13" s="13"/>
      <c r="L13" s="13"/>
      <c r="M13" s="13"/>
    </row>
    <row r="14" spans="1:13" ht="15" customHeight="1" x14ac:dyDescent="0.25">
      <c r="A14" s="20"/>
      <c r="B14" s="11"/>
      <c r="C14" s="11"/>
      <c r="D14" s="11"/>
      <c r="E14" s="11"/>
      <c r="F14" s="11"/>
      <c r="G14" s="11"/>
      <c r="H14" s="11"/>
      <c r="I14" s="13"/>
    </row>
    <row r="15" spans="1:13" ht="15" customHeight="1" x14ac:dyDescent="0.25">
      <c r="A15" s="20"/>
      <c r="B15" s="11"/>
      <c r="C15" s="11"/>
      <c r="D15" s="11"/>
      <c r="E15" s="11"/>
      <c r="F15" s="11"/>
      <c r="G15" s="11"/>
      <c r="H15" s="11"/>
    </row>
    <row r="16" spans="1:13" x14ac:dyDescent="0.25">
      <c r="B16" s="11"/>
      <c r="C16" s="11"/>
      <c r="D16" s="11"/>
      <c r="E16" s="11"/>
      <c r="F16" s="11"/>
      <c r="G16" s="11"/>
      <c r="H16" s="11"/>
      <c r="I16" s="11"/>
      <c r="J16" s="13"/>
      <c r="K16" s="13"/>
      <c r="L16" s="13"/>
      <c r="M16" s="13"/>
    </row>
    <row r="17" spans="1:13" ht="15" customHeight="1" x14ac:dyDescent="0.25">
      <c r="A17" s="20"/>
      <c r="B17" s="11"/>
      <c r="H17" s="13"/>
      <c r="J17" s="13"/>
      <c r="K17" s="13"/>
      <c r="L17" s="13"/>
      <c r="M17" s="13"/>
    </row>
    <row r="18" spans="1:13" ht="15" customHeight="1" x14ac:dyDescent="0.25">
      <c r="A18" s="20"/>
      <c r="B18" s="11"/>
      <c r="H18" s="13"/>
      <c r="J18" s="13"/>
      <c r="K18" s="13"/>
      <c r="L18" s="13"/>
      <c r="M18" s="13"/>
    </row>
    <row r="19" spans="1:13" ht="15" customHeight="1" x14ac:dyDescent="0.25">
      <c r="A19" s="20"/>
      <c r="B19" s="11"/>
      <c r="H19" s="13"/>
    </row>
    <row r="26" spans="1:13" x14ac:dyDescent="0.25">
      <c r="D26" s="13"/>
      <c r="E26" s="13"/>
      <c r="F26" s="13"/>
      <c r="G26" s="13"/>
      <c r="H26" s="13"/>
      <c r="I26" s="13"/>
    </row>
    <row r="27" spans="1:13" x14ac:dyDescent="0.25">
      <c r="D27" s="13"/>
      <c r="E27" s="13"/>
      <c r="F27" s="13"/>
      <c r="G27" s="13"/>
      <c r="H27" s="13"/>
      <c r="I27" s="13"/>
    </row>
    <row r="28" spans="1:13" x14ac:dyDescent="0.25">
      <c r="D28" s="13"/>
      <c r="E28" s="13"/>
      <c r="F28" s="13"/>
      <c r="G28" s="13"/>
      <c r="H28" s="13"/>
      <c r="I28" s="13"/>
    </row>
    <row r="33" spans="1:1" ht="18.75" x14ac:dyDescent="0.3">
      <c r="A33" s="8"/>
    </row>
    <row r="34" spans="1:1" x14ac:dyDescent="0.25">
      <c r="A34" s="11"/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0A82-79C3-43F8-B8E2-DFBD488D20C6}">
  <sheetPr codeName="Sheet3"/>
  <dimension ref="A10:B23"/>
  <sheetViews>
    <sheetView workbookViewId="0">
      <selection activeCell="E23" sqref="E23"/>
    </sheetView>
  </sheetViews>
  <sheetFormatPr defaultRowHeight="15" x14ac:dyDescent="0.25"/>
  <cols>
    <col min="1" max="1" width="52.85546875" customWidth="1"/>
    <col min="2" max="2" width="14.42578125" customWidth="1"/>
  </cols>
  <sheetData>
    <row r="10" spans="1:2" ht="15.75" x14ac:dyDescent="0.25">
      <c r="A10" s="65" t="s">
        <v>172</v>
      </c>
      <c r="B10" s="65" t="s">
        <v>171</v>
      </c>
    </row>
    <row r="11" spans="1:2" ht="26.45" customHeight="1" x14ac:dyDescent="0.25">
      <c r="A11" s="96" t="s">
        <v>179</v>
      </c>
      <c r="B11" s="94"/>
    </row>
    <row r="12" spans="1:2" ht="26.45" customHeight="1" x14ac:dyDescent="0.25">
      <c r="A12" s="96" t="s">
        <v>180</v>
      </c>
      <c r="B12" s="95"/>
    </row>
    <row r="13" spans="1:2" ht="26.45" customHeight="1" x14ac:dyDescent="0.25">
      <c r="A13" s="96" t="s">
        <v>181</v>
      </c>
      <c r="B13" s="94"/>
    </row>
    <row r="14" spans="1:2" ht="26.45" customHeight="1" x14ac:dyDescent="0.25">
      <c r="A14" s="96" t="s">
        <v>182</v>
      </c>
      <c r="B14" s="94"/>
    </row>
    <row r="15" spans="1:2" ht="26.45" customHeight="1" x14ac:dyDescent="0.25">
      <c r="A15" s="96" t="s">
        <v>174</v>
      </c>
      <c r="B15" s="94"/>
    </row>
    <row r="16" spans="1:2" ht="26.45" customHeight="1" x14ac:dyDescent="0.25">
      <c r="A16" s="96" t="s">
        <v>176</v>
      </c>
      <c r="B16" s="94"/>
    </row>
    <row r="17" spans="1:2" ht="26.45" customHeight="1" x14ac:dyDescent="0.25">
      <c r="A17" s="96" t="s">
        <v>177</v>
      </c>
      <c r="B17" s="94"/>
    </row>
    <row r="18" spans="1:2" ht="26.45" customHeight="1" x14ac:dyDescent="0.25">
      <c r="A18" s="96" t="s">
        <v>175</v>
      </c>
      <c r="B18" s="94"/>
    </row>
    <row r="19" spans="1:2" ht="26.45" customHeight="1" x14ac:dyDescent="0.25">
      <c r="A19" s="96" t="s">
        <v>183</v>
      </c>
      <c r="B19" s="94"/>
    </row>
    <row r="20" spans="1:2" ht="26.45" customHeight="1" x14ac:dyDescent="0.25">
      <c r="A20" s="96" t="s">
        <v>178</v>
      </c>
      <c r="B20" s="94"/>
    </row>
    <row r="21" spans="1:2" ht="26.45" customHeight="1" x14ac:dyDescent="0.25">
      <c r="A21" s="96" t="s">
        <v>173</v>
      </c>
      <c r="B21" s="94"/>
    </row>
    <row r="22" spans="1:2" ht="26.45" customHeight="1" x14ac:dyDescent="0.25">
      <c r="A22" s="96" t="s">
        <v>184</v>
      </c>
      <c r="B22" s="94"/>
    </row>
    <row r="23" spans="1:2" ht="26.45" customHeight="1" x14ac:dyDescent="0.25">
      <c r="A23" s="96" t="s">
        <v>185</v>
      </c>
      <c r="B23" s="9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03A87-1E20-4D19-8752-B3D8D12F36C4}">
  <sheetPr codeName="Sheet19"/>
  <dimension ref="A1:L35"/>
  <sheetViews>
    <sheetView workbookViewId="0">
      <selection sqref="A1:G1"/>
    </sheetView>
  </sheetViews>
  <sheetFormatPr defaultColWidth="9.140625" defaultRowHeight="15" x14ac:dyDescent="0.25"/>
  <cols>
    <col min="1" max="1" width="30.7109375" style="7" customWidth="1"/>
    <col min="2" max="2" width="15.7109375" style="7" customWidth="1"/>
    <col min="3" max="6" width="9.140625" style="7"/>
    <col min="7" max="7" width="9.140625" style="7" customWidth="1"/>
    <col min="8" max="16384" width="9.140625" style="7"/>
  </cols>
  <sheetData>
    <row r="1" spans="1:12" ht="26.25" x14ac:dyDescent="0.4">
      <c r="A1" s="152" t="s">
        <v>41</v>
      </c>
      <c r="B1" s="152"/>
      <c r="C1" s="152"/>
      <c r="D1" s="152"/>
      <c r="E1" s="152"/>
      <c r="F1" s="152"/>
      <c r="G1" s="152"/>
    </row>
    <row r="2" spans="1:12" ht="35.25" customHeight="1" x14ac:dyDescent="0.25"/>
    <row r="3" spans="1:12" ht="18.75" x14ac:dyDescent="0.3">
      <c r="A3" s="16" t="s">
        <v>47</v>
      </c>
      <c r="B3" s="37" t="s">
        <v>57</v>
      </c>
      <c r="C3" s="26"/>
      <c r="D3" s="27"/>
      <c r="E3" s="31"/>
    </row>
    <row r="4" spans="1:12" ht="18.75" x14ac:dyDescent="0.3">
      <c r="A4" s="8" t="s">
        <v>49</v>
      </c>
      <c r="B4" s="10" t="s">
        <v>57</v>
      </c>
      <c r="C4" s="27"/>
      <c r="D4" s="27"/>
      <c r="E4" s="31"/>
    </row>
    <row r="5" spans="1:12" ht="20.100000000000001" customHeight="1" x14ac:dyDescent="0.3">
      <c r="A5" s="8" t="s">
        <v>54</v>
      </c>
      <c r="B5" s="10" t="s">
        <v>42</v>
      </c>
      <c r="C5" s="39" t="s">
        <v>50</v>
      </c>
      <c r="D5" s="27" t="s">
        <v>51</v>
      </c>
      <c r="E5" s="31"/>
    </row>
    <row r="6" spans="1:12" ht="20.100000000000001" customHeight="1" x14ac:dyDescent="0.25">
      <c r="A6" s="17" t="s">
        <v>55</v>
      </c>
      <c r="B6" s="37" t="s">
        <v>43</v>
      </c>
      <c r="C6" s="40" t="s">
        <v>50</v>
      </c>
      <c r="D6" s="10" t="s">
        <v>51</v>
      </c>
      <c r="E6" s="31"/>
      <c r="F6" s="9"/>
    </row>
    <row r="7" spans="1:12" ht="20.100000000000001" customHeight="1" x14ac:dyDescent="0.25">
      <c r="A7" s="17" t="s">
        <v>56</v>
      </c>
      <c r="B7" s="10" t="s">
        <v>44</v>
      </c>
      <c r="C7" s="39" t="s">
        <v>50</v>
      </c>
      <c r="D7" s="27" t="s">
        <v>51</v>
      </c>
      <c r="E7" s="31"/>
    </row>
    <row r="8" spans="1:12" ht="20.100000000000001" customHeight="1" x14ac:dyDescent="0.25">
      <c r="A8" s="18" t="s">
        <v>56</v>
      </c>
      <c r="B8" s="10" t="s">
        <v>45</v>
      </c>
      <c r="C8" s="27"/>
      <c r="D8" s="26"/>
      <c r="E8" s="31"/>
    </row>
    <row r="9" spans="1:12" ht="15" customHeight="1" x14ac:dyDescent="0.25">
      <c r="A9" s="18"/>
      <c r="B9" s="11"/>
      <c r="C9" s="13"/>
      <c r="D9" s="30"/>
      <c r="H9" s="18"/>
      <c r="I9" s="13"/>
      <c r="J9" s="13"/>
      <c r="K9" s="13"/>
      <c r="L9" s="13"/>
    </row>
    <row r="10" spans="1:12" ht="15" customHeight="1" x14ac:dyDescent="0.25">
      <c r="A10" s="18"/>
      <c r="B10" s="11"/>
      <c r="C10" s="13"/>
      <c r="H10" s="18"/>
      <c r="I10" s="13"/>
      <c r="J10" s="13"/>
      <c r="K10" s="13"/>
      <c r="L10" s="13"/>
    </row>
    <row r="11" spans="1:12" ht="15" customHeight="1" x14ac:dyDescent="0.25">
      <c r="A11" s="18"/>
      <c r="B11" s="11"/>
      <c r="C11" s="13" t="s">
        <v>25</v>
      </c>
      <c r="H11" s="18"/>
      <c r="I11" s="13"/>
      <c r="J11" s="13"/>
      <c r="K11" s="13"/>
      <c r="L11" s="13"/>
    </row>
    <row r="12" spans="1:12" ht="15" customHeight="1" x14ac:dyDescent="0.25">
      <c r="A12" s="18"/>
      <c r="B12" s="11"/>
      <c r="C12" s="13"/>
      <c r="H12" s="18"/>
      <c r="I12" s="13"/>
      <c r="J12" s="13"/>
      <c r="K12" s="13"/>
      <c r="L12" s="13"/>
    </row>
    <row r="13" spans="1:12" ht="15" customHeight="1" x14ac:dyDescent="0.25">
      <c r="A13" s="18"/>
      <c r="B13" s="11"/>
      <c r="C13" s="13"/>
      <c r="H13" s="18"/>
      <c r="I13" s="13"/>
      <c r="J13" s="13"/>
      <c r="K13" s="13"/>
      <c r="L13" s="13"/>
    </row>
    <row r="14" spans="1:12" ht="15" customHeight="1" x14ac:dyDescent="0.25">
      <c r="A14" s="18"/>
      <c r="B14" s="11"/>
      <c r="C14" s="13"/>
      <c r="H14" s="18"/>
      <c r="I14" s="13"/>
      <c r="J14" s="13"/>
      <c r="K14" s="13"/>
      <c r="L14" s="13"/>
    </row>
    <row r="15" spans="1:12" ht="15" customHeight="1" x14ac:dyDescent="0.25">
      <c r="A15" s="18"/>
      <c r="B15" s="11"/>
      <c r="C15" s="13"/>
      <c r="H15" s="18"/>
      <c r="I15" s="13"/>
      <c r="J15" s="13"/>
      <c r="K15" s="13"/>
      <c r="L15" s="13"/>
    </row>
    <row r="16" spans="1:12" ht="15" customHeight="1" x14ac:dyDescent="0.25">
      <c r="A16" s="18"/>
      <c r="B16" s="11"/>
      <c r="C16" s="13"/>
      <c r="H16" s="18"/>
      <c r="I16" s="13"/>
      <c r="J16" s="13"/>
      <c r="K16" s="13"/>
      <c r="L16" s="13"/>
    </row>
    <row r="17" spans="1:12" ht="15" customHeight="1" x14ac:dyDescent="0.25">
      <c r="A17" s="18"/>
      <c r="B17" s="11"/>
      <c r="C17" s="13"/>
      <c r="H17" s="18"/>
      <c r="I17" s="13"/>
      <c r="J17" s="13"/>
      <c r="K17" s="13"/>
      <c r="L17" s="13"/>
    </row>
    <row r="18" spans="1:12" ht="15" customHeight="1" x14ac:dyDescent="0.25">
      <c r="A18" s="18"/>
      <c r="B18" s="11"/>
      <c r="C18" s="13"/>
      <c r="H18" s="18"/>
      <c r="I18" s="13"/>
      <c r="J18" s="13"/>
      <c r="K18" s="13"/>
      <c r="L18" s="13"/>
    </row>
    <row r="19" spans="1:12" ht="15" customHeight="1" x14ac:dyDescent="0.25">
      <c r="A19" s="18"/>
      <c r="B19" s="11"/>
      <c r="C19" s="13"/>
      <c r="H19" s="18"/>
      <c r="I19" s="13"/>
      <c r="J19" s="13"/>
      <c r="K19" s="13"/>
      <c r="L19" s="13"/>
    </row>
    <row r="20" spans="1:12" ht="15" customHeight="1" x14ac:dyDescent="0.25">
      <c r="A20" s="18"/>
      <c r="B20" s="11"/>
      <c r="C20" s="13"/>
      <c r="H20" s="18"/>
      <c r="I20" s="13"/>
      <c r="J20" s="13"/>
      <c r="K20" s="13"/>
      <c r="L20" s="13"/>
    </row>
    <row r="22" spans="1:12" ht="15" customHeight="1" x14ac:dyDescent="0.25">
      <c r="A22" s="18"/>
      <c r="B22" s="11"/>
      <c r="C22" s="13"/>
      <c r="H22" s="18"/>
      <c r="I22" s="13"/>
      <c r="J22" s="13"/>
      <c r="K22" s="13"/>
      <c r="L22" s="13"/>
    </row>
    <row r="23" spans="1:12" ht="15" customHeight="1" x14ac:dyDescent="0.25">
      <c r="A23" s="18"/>
      <c r="B23" s="11"/>
      <c r="C23" s="13"/>
      <c r="H23" s="18"/>
      <c r="I23" s="13"/>
      <c r="J23" s="13"/>
      <c r="K23" s="13"/>
      <c r="L23" s="13"/>
    </row>
    <row r="27" spans="1:12" x14ac:dyDescent="0.25">
      <c r="D27" s="13"/>
      <c r="E27" s="13"/>
      <c r="F27" s="13"/>
      <c r="G27" s="13"/>
      <c r="H27" s="13"/>
    </row>
    <row r="28" spans="1:12" x14ac:dyDescent="0.25">
      <c r="D28" s="13"/>
      <c r="E28" s="13"/>
      <c r="F28" s="13"/>
      <c r="G28" s="13"/>
      <c r="H28" s="13"/>
    </row>
    <row r="29" spans="1:12" x14ac:dyDescent="0.25">
      <c r="D29" s="13"/>
      <c r="E29" s="13"/>
      <c r="F29" s="13"/>
      <c r="G29" s="13"/>
      <c r="H29" s="13"/>
    </row>
    <row r="34" spans="1:1" ht="18.75" x14ac:dyDescent="0.3">
      <c r="A34" s="8"/>
    </row>
    <row r="35" spans="1:1" x14ac:dyDescent="0.25">
      <c r="A35" s="11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F7A24FCBB75E44A92320185FA2389E" ma:contentTypeVersion="17" ma:contentTypeDescription="Create a new document." ma:contentTypeScope="" ma:versionID="b1db1b0dab4e760d79d1d889b85445ab">
  <xsd:schema xmlns:xsd="http://www.w3.org/2001/XMLSchema" xmlns:xs="http://www.w3.org/2001/XMLSchema" xmlns:p="http://schemas.microsoft.com/office/2006/metadata/properties" xmlns:ns2="3e1aafe4-f3ef-4a83-b892-db7fab901013" xmlns:ns3="a556fcc6-df3d-4efb-a4c1-8e4ec38ec48a" targetNamespace="http://schemas.microsoft.com/office/2006/metadata/properties" ma:root="true" ma:fieldsID="4f971aaa1c9558dbb89d55baf599f9e8" ns2:_="" ns3:_="">
    <xsd:import namespace="3e1aafe4-f3ef-4a83-b892-db7fab901013"/>
    <xsd:import namespace="a556fcc6-df3d-4efb-a4c1-8e4ec38ec4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xeej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1aafe4-f3ef-4a83-b892-db7fab9010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xeej" ma:index="20" nillable="true" ma:displayName="Person or Group" ma:list="UserInfo" ma:internalName="xeej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0540860-ad29-45e9-9aad-3d47870f40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56fcc6-df3d-4efb-a4c1-8e4ec38ec4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3febd3fd-cb00-43f2-a82b-2a398bc958fb}" ma:internalName="TaxCatchAll" ma:showField="CatchAllData" ma:web="a556fcc6-df3d-4efb-a4c1-8e4ec38ec4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xeej xmlns="3e1aafe4-f3ef-4a83-b892-db7fab901013">
      <UserInfo>
        <DisplayName/>
        <AccountId xsi:nil="true"/>
        <AccountType/>
      </UserInfo>
    </xeej>
    <TaxCatchAll xmlns="a556fcc6-df3d-4efb-a4c1-8e4ec38ec48a" xsi:nil="true"/>
    <lcf76f155ced4ddcb4097134ff3c332f xmlns="3e1aafe4-f3ef-4a83-b892-db7fab90101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DEE51A7-DF0A-40AE-BC80-262B617CB3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1aafe4-f3ef-4a83-b892-db7fab901013"/>
    <ds:schemaRef ds:uri="a556fcc6-df3d-4efb-a4c1-8e4ec38ec4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E6904C-C5C4-4F63-83B3-E8ACEA243540}">
  <ds:schemaRefs>
    <ds:schemaRef ds:uri="http://www.w3.org/XML/1998/namespace"/>
    <ds:schemaRef ds:uri="a556fcc6-df3d-4efb-a4c1-8e4ec38ec48a"/>
    <ds:schemaRef ds:uri="3e1aafe4-f3ef-4a83-b892-db7fab901013"/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D7A5123-319B-4AD2-B252-407FEA92CA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Introduction</vt:lpstr>
      <vt:lpstr>Plots</vt:lpstr>
      <vt:lpstr>Notes</vt:lpstr>
      <vt:lpstr>Receiver ID (2)</vt:lpstr>
      <vt:lpstr>Configuration (2)</vt:lpstr>
      <vt:lpstr>LNA biasing (2)</vt:lpstr>
      <vt:lpstr>Switches (2)</vt:lpstr>
      <vt:lpstr>Sensors (2)</vt:lpstr>
      <vt:lpstr>Power (2)</vt:lpstr>
      <vt:lpstr>Plots (2)</vt:lpstr>
      <vt:lpstr>Notes (2)</vt:lpstr>
      <vt:lpstr>Date1</vt:lpstr>
      <vt:lpstr>DocNum</vt:lpstr>
      <vt:lpstr>DRFnum</vt:lpstr>
      <vt:lpstr>Introduction!Name1</vt:lpstr>
      <vt:lpstr>PartNum</vt:lpstr>
      <vt:lpstr>Picture1</vt:lpstr>
      <vt:lpstr>Picture2</vt:lpstr>
      <vt:lpstr>Picture3</vt:lpstr>
      <vt:lpstr>Plots!Print_Area</vt:lpstr>
      <vt:lpstr>Rev</vt:lpstr>
      <vt:lpstr>SN</vt:lpstr>
      <vt:lpstr>testResult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van Staden</dc:creator>
  <cp:lastModifiedBy>Alec Gould</cp:lastModifiedBy>
  <cp:lastPrinted>2022-06-15T12:52:31Z</cp:lastPrinted>
  <dcterms:created xsi:type="dcterms:W3CDTF">2015-06-16T11:05:06Z</dcterms:created>
  <dcterms:modified xsi:type="dcterms:W3CDTF">2024-07-16T09:01:33Z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0x01010071F7A24FCBB75E44A92320185FA2389E</vt:lpwstr>
  </property>
  <property fmtid="{D5CDD505-2E9C-101B-9397-08002B2CF9AE}" pid="3" name="MediaServiceImageTags">
    <vt:lpwstr/>
  </property>
</Properties>
</file>